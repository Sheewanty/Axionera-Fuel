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7894481f6c43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daae07589bc4787"/>
    <x:sheet xmlns:r="http://schemas.openxmlformats.org/officeDocument/2006/relationships" name="Companies" sheetId="2" r:id="Rbe3fd962ea054ea8"/>
    <x:sheet xmlns:r="http://schemas.openxmlformats.org/officeDocument/2006/relationships" name="Stations" sheetId="3" r:id="R8f2821d020324dda"/>
    <x:sheet xmlns:r="http://schemas.openxmlformats.org/officeDocument/2006/relationships" name="Users" sheetId="4" r:id="Ra1bd7760792c4f36"/>
    <x:sheet xmlns:r="http://schemas.openxmlformats.org/officeDocument/2006/relationships" name="Products" sheetId="5" r:id="Rf619230bd2dd4aa5"/>
    <x:sheet xmlns:r="http://schemas.openxmlformats.org/officeDocument/2006/relationships" name="Product Prices" sheetId="6" r:id="R5b575d5d06064134"/>
    <x:sheet xmlns:r="http://schemas.openxmlformats.org/officeDocument/2006/relationships" name="Tanks" sheetId="7" r:id="Ra6320926f75b4084"/>
    <x:sheet xmlns:r="http://schemas.openxmlformats.org/officeDocument/2006/relationships" name="Pumps" sheetId="8" r:id="Rd899a78ab7a943cd"/>
    <x:sheet xmlns:r="http://schemas.openxmlformats.org/officeDocument/2006/relationships" name="Nozzles" sheetId="9" r:id="R052943599fd8416c"/>
    <x:sheet xmlns:r="http://schemas.openxmlformats.org/officeDocument/2006/relationships" name="Debtors" sheetId="10" r:id="R5f2b4434e7954467"/>
    <x:sheet xmlns:r="http://schemas.openxmlformats.org/officeDocument/2006/relationships" name="Daily Sessions" sheetId="11" r:id="R56e9b2bd4941454b"/>
    <x:sheet xmlns:r="http://schemas.openxmlformats.org/officeDocument/2006/relationships" name="Pump Sales" sheetId="12" r:id="R1e3bad73d9f44bbc"/>
    <x:sheet xmlns:r="http://schemas.openxmlformats.org/officeDocument/2006/relationships" name="Payment Details" sheetId="13" r:id="R6f193c14ad2341b7"/>
    <x:sheet xmlns:r="http://schemas.openxmlformats.org/officeDocument/2006/relationships" name="Debtor Ledger" sheetId="14" r:id="Rab3e8d532e634aaa"/>
    <x:sheet xmlns:r="http://schemas.openxmlformats.org/officeDocument/2006/relationships" name="Product Discharge" sheetId="15" r:id="R83aad705072a4213"/>
    <x:sheet xmlns:r="http://schemas.openxmlformats.org/officeDocument/2006/relationships" name="Tank Dipping" sheetId="16" r:id="R13b6288fd9044a89"/>
    <x:sheet xmlns:r="http://schemas.openxmlformats.org/officeDocument/2006/relationships" name="Expenditure" sheetId="17" r:id="Rd01313169ddc4871"/>
    <x:sheet xmlns:r="http://schemas.openxmlformats.org/officeDocument/2006/relationships" name="Mart Sales" sheetId="18" r:id="R4ad6cb2670ce4bb7"/>
    <x:sheet xmlns:r="http://schemas.openxmlformats.org/officeDocument/2006/relationships" name="Lube Bay Setup" sheetId="19" r:id="R6180dd8e042148ed"/>
    <x:sheet xmlns:r="http://schemas.openxmlformats.org/officeDocument/2006/relationships" name="Lube Bay Sales" sheetId="20" r:id="R83361af0bd7e4339"/>
    <x:sheet xmlns:r="http://schemas.openxmlformats.org/officeDocument/2006/relationships" name="Cash Collection" sheetId="21" r:id="R54ed552cd2314dab"/>
    <x:sheet xmlns:r="http://schemas.openxmlformats.org/officeDocument/2006/relationships" name="Expected Reconciliation" sheetId="22" r:id="Rd1a8bcf3eeeb46c0"/>
    <x:sheet xmlns:r="http://schemas.openxmlformats.org/officeDocument/2006/relationships" name="Import Validation Rules" sheetId="23" r:id="Rc48789eaf54e4921"/>
    <x:sheet xmlns:r="http://schemas.openxmlformats.org/officeDocument/2006/relationships" name="Control Summary" sheetId="24" r:id="R04e9aef8cea94f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5">
    <x:font>
      <x:sz val="11"/>
      <x:name val="Carlito"/>
    </x:font>
    <x:font>
      <x:sz val="10"/>
      <x:color rgb="FF0F172A"/>
      <x:name val="Inter"/>
    </x:font>
    <x:font>
      <x:b/>
      <x:sz val="10"/>
      <x:color rgb="FFFFFFFF"/>
      <x:name val="Inter"/>
    </x:font>
    <x:font>
      <x:b/>
      <x:sz val="16"/>
      <x:color rgb="FFFFFFFF"/>
      <x:name val="Inter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2B5A"/>
      </x:patternFill>
    </x:fill>
    <x:fill>
      <x:patternFill patternType="solid">
        <x:fgColor rgb="FFA6783A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2" borderId="0" xfId="0" applyNumberFormat="1" applyFont="1" applyFill="1" applyBorder="1" applyAlignment="1">
      <x:alignment horizontal="center" vertical="top" wrapText="1"/>
    </x:xf>
    <x:xf numFmtId="200" fontId="1" fillId="0" borderId="1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0" fillId="0" borderId="1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21f7803a9849cb" /><Relationship Type="http://schemas.openxmlformats.org/officeDocument/2006/relationships/theme" Target="/xl/theme/theme1.xml" Id="R28af181d863943a2" /><Relationship Type="http://schemas.microsoft.com/office/2022/11/relationships/FeaturePropertyBag" Target="/xl/featurePropertyBag/featurePropertyBag.xml" Id="Rb2f93973a92f4271" /><Relationship Type="http://schemas.openxmlformats.org/officeDocument/2006/relationships/sharedStrings" Target="/xl/sharedStrings.xml" Id="R116ab4e54bae4e3e" /><Relationship Type="http://schemas.openxmlformats.org/officeDocument/2006/relationships/worksheet" Target="/xl/worksheets/sheet1.xml" Id="R8daae07589bc4787" /><Relationship Type="http://schemas.openxmlformats.org/officeDocument/2006/relationships/worksheet" Target="/xl/worksheets/sheet2.xml" Id="Rbe3fd962ea054ea8" /><Relationship Type="http://schemas.openxmlformats.org/officeDocument/2006/relationships/worksheet" Target="/xl/worksheets/sheet3.xml" Id="R8f2821d020324dda" /><Relationship Type="http://schemas.openxmlformats.org/officeDocument/2006/relationships/worksheet" Target="/xl/worksheets/sheet4.xml" Id="Ra1bd7760792c4f36" /><Relationship Type="http://schemas.openxmlformats.org/officeDocument/2006/relationships/worksheet" Target="/xl/worksheets/sheet5.xml" Id="Rf619230bd2dd4aa5" /><Relationship Type="http://schemas.openxmlformats.org/officeDocument/2006/relationships/worksheet" Target="/xl/worksheets/sheet6.xml" Id="R5b575d5d06064134" /><Relationship Type="http://schemas.openxmlformats.org/officeDocument/2006/relationships/worksheet" Target="/xl/worksheets/sheet7.xml" Id="Ra6320926f75b4084" /><Relationship Type="http://schemas.openxmlformats.org/officeDocument/2006/relationships/worksheet" Target="/xl/worksheets/sheet8.xml" Id="Rd899a78ab7a943cd" /><Relationship Type="http://schemas.openxmlformats.org/officeDocument/2006/relationships/worksheet" Target="/xl/worksheets/sheet9.xml" Id="R052943599fd8416c" /><Relationship Type="http://schemas.openxmlformats.org/officeDocument/2006/relationships/worksheet" Target="/xl/worksheets/sheet10.xml" Id="R5f2b4434e7954467" /><Relationship Type="http://schemas.openxmlformats.org/officeDocument/2006/relationships/worksheet" Target="/xl/worksheets/sheet11.xml" Id="R56e9b2bd4941454b" /><Relationship Type="http://schemas.openxmlformats.org/officeDocument/2006/relationships/worksheet" Target="/xl/worksheets/sheet12.xml" Id="R1e3bad73d9f44bbc" /><Relationship Type="http://schemas.openxmlformats.org/officeDocument/2006/relationships/worksheet" Target="/xl/worksheets/sheet13.xml" Id="R6f193c14ad2341b7" /><Relationship Type="http://schemas.openxmlformats.org/officeDocument/2006/relationships/worksheet" Target="/xl/worksheets/sheet14.xml" Id="Rab3e8d532e634aaa" /><Relationship Type="http://schemas.openxmlformats.org/officeDocument/2006/relationships/worksheet" Target="/xl/worksheets/sheet15.xml" Id="R83aad705072a4213" /><Relationship Type="http://schemas.openxmlformats.org/officeDocument/2006/relationships/worksheet" Target="/xl/worksheets/sheet16.xml" Id="R13b6288fd9044a89" /><Relationship Type="http://schemas.openxmlformats.org/officeDocument/2006/relationships/worksheet" Target="/xl/worksheets/sheet17.xml" Id="Rd01313169ddc4871" /><Relationship Type="http://schemas.openxmlformats.org/officeDocument/2006/relationships/worksheet" Target="/xl/worksheets/sheet18.xml" Id="R4ad6cb2670ce4bb7" /><Relationship Type="http://schemas.openxmlformats.org/officeDocument/2006/relationships/worksheet" Target="/xl/worksheets/sheet19.xml" Id="R6180dd8e042148ed" /><Relationship Type="http://schemas.openxmlformats.org/officeDocument/2006/relationships/worksheet" Target="/xl/worksheets/sheet20.xml" Id="R83361af0bd7e4339" /><Relationship Type="http://schemas.openxmlformats.org/officeDocument/2006/relationships/worksheet" Target="/xl/worksheets/sheet21.xml" Id="R54ed552cd2314dab" /><Relationship Type="http://schemas.openxmlformats.org/officeDocument/2006/relationships/worksheet" Target="/xl/worksheets/sheet22.xml" Id="Rd1a8bcf3eeeb46c0" /><Relationship Type="http://schemas.openxmlformats.org/officeDocument/2006/relationships/worksheet" Target="/xl/worksheets/sheet23.xml" Id="Rc48789eaf54e4921" /><Relationship Type="http://schemas.openxmlformats.org/officeDocument/2006/relationships/worksheet" Target="/xl/worksheets/sheet24.xml" Id="R04e9aef8cea94fa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2.5" hidden="0" customWidth="1"/>
  </x:cols>
  <x:sheetData>
    <x:row r="1">
      <x:c r="A1" s="6" t="str">
        <x:v>FuelStation OS Two-Company E2E Test Pack</x:v>
      </x:c>
      <x:c r="B1" s="6" t="str"/>
    </x:row>
    <x:row r="2">
      <x:c r="A2" s="7" t="str">
        <x:v>Purpose</x:v>
      </x:c>
      <x:c r="B2" s="7" t="str">
        <x:v>Use this workbook to create two separate tenants, configure stations, and run one complete operations day per station.</x:v>
      </x:c>
    </x:row>
    <x:row r="3">
      <x:c r="A3" s="7" t="str">
        <x:v>Recommended order</x:v>
      </x:c>
      <x:c r="B3" s="7" t="str">
        <x:v>Companies -&gt; Stations -&gt; Users -&gt; Products -&gt; Product Prices -&gt; Tanks -&gt; Pumps -&gt; Nozzles -&gt; Debtors -&gt; Daily Sessions -&gt; operational tabs.</x:v>
      </x:c>
    </x:row>
    <x:row r="4">
      <x:c r="A4" s="7" t="str">
        <x:v>Critical note</x:v>
      </x:c>
      <x:c r="B4" s="7" t="str">
        <x:v>Dates are written in British display format, e.g. 19-Jun-2026. Import code may normalize them to ISO dates.</x:v>
      </x:c>
    </x:row>
    <x:row r="5">
      <x:c r="A5" s="7" t="str">
        <x:v>Do not import</x:v>
      </x:c>
      <x:c r="B5" s="7" t="str">
        <x:v>This workbook is a test/import template. Do not import passwords or internal database IDs.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</x:cols>
  <x:sheetData>
    <x:row r="1">
      <x:c r="A1" s="6" t="str">
        <x:v>companyCode</x:v>
      </x:c>
      <x:c r="B1" s="6" t="str">
        <x:v>tenantName</x:v>
      </x:c>
      <x:c r="C1" s="6" t="str">
        <x:v>slug</x:v>
      </x:c>
      <x:c r="D1" s="6" t="str">
        <x:v>subscriptionPackage</x:v>
      </x:c>
      <x:c r="E1" s="6" t="str">
        <x:v>subscriptionStatus</x:v>
      </x:c>
      <x:c r="F1" s="6" t="str">
        <x:v>maxStations</x:v>
      </x:c>
      <x:c r="G1" s="6" t="str">
        <x:v>maxTanks</x:v>
      </x:c>
      <x:c r="H1" s="6" t="str">
        <x:v>maxPumps</x:v>
      </x:c>
      <x:c r="I1" s="6" t="str">
        <x:v>billingEmail</x:v>
      </x:c>
      <x:c r="J1" s="6" t="str">
        <x:v>billingAddress</x:v>
      </x:c>
      <x:c r="K1" s="6" t="str">
        <x:v>ownerName</x:v>
      </x:c>
      <x:c r="L1" s="6" t="str">
        <x:v>ownerEmail</x:v>
      </x:c>
    </x:row>
    <x:row r="2">
      <x:c r="A2" s="7" t="str">
        <x:v>AKF</x:v>
      </x:c>
      <x:c r="B2" s="7" t="str">
        <x:v>Akwaaba Energy Ltd</x:v>
      </x:c>
      <x:c r="C2" s="7" t="str">
        <x:v>akwaaba-energy</x:v>
      </x:c>
      <x:c r="D2" s="7" t="str">
        <x:v>PRO</x:v>
      </x:c>
      <x:c r="E2" s="7" t="str">
        <x:v>ACTIVE</x:v>
      </x:c>
      <x:c r="F2" s="7" t="n">
        <x:v>3</x:v>
      </x:c>
      <x:c r="G2" s="7" t="n">
        <x:v>10</x:v>
      </x:c>
      <x:c r="H2" s="7" t="n">
        <x:v>8</x:v>
      </x:c>
      <x:c r="I2" s="7" t="str">
        <x:v>accounts@akwaabaenergy.com</x:v>
      </x:c>
      <x:c r="J2" s="7" t="str">
        <x:v>12 Independence Avenue, Accra</x:v>
      </x:c>
      <x:c r="K2" s="7" t="str">
        <x:v>Ama Boateng</x:v>
      </x:c>
      <x:c r="L2" s="7" t="str">
        <x:v>ama.boateng@akwaabaenergy.com</x:v>
      </x:c>
    </x:row>
    <x:row r="3">
      <x:c r="A3" s="7" t="str">
        <x:v>NBF</x:v>
      </x:c>
      <x:c r="B3" s="7" t="str">
        <x:v>Northbridge Fuels Ltd</x:v>
      </x:c>
      <x:c r="C3" s="7" t="str">
        <x:v>northbridge-fuels</x:v>
      </x:c>
      <x:c r="D3" s="7" t="str">
        <x:v>STARTER</x:v>
      </x:c>
      <x:c r="E3" s="7" t="str">
        <x:v>ACTIVE</x:v>
      </x:c>
      <x:c r="F3" s="7" t="n">
        <x:v>1</x:v>
      </x:c>
      <x:c r="G3" s="7" t="n">
        <x:v>4</x:v>
      </x:c>
      <x:c r="H3" s="7" t="n">
        <x:v>3</x:v>
      </x:c>
      <x:c r="I3" s="7" t="str">
        <x:v>finance@northbridgefuels.com</x:v>
      </x:c>
      <x:c r="J3" s="7" t="str">
        <x:v>Plot 18 Industrial Area, Tamale</x:v>
      </x:c>
      <x:c r="K3" s="7" t="str">
        <x:v>Suleman Yakubu</x:v>
      </x:c>
      <x:c r="L3" s="7" t="str">
        <x:v>suleman.yakubu@northbridgefuels.com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</x:cols>
  <x:sheetData>
    <x:row r="1">
      <x:c r="A1" s="6" t="str">
        <x:v>companyCode</x:v>
      </x:c>
      <x:c r="B1" s="6" t="str">
        <x:v>stationCode</x:v>
      </x:c>
      <x:c r="C1" s="6" t="str">
        <x:v>stationName</x:v>
      </x:c>
      <x:c r="D1" s="6" t="str">
        <x:v>location</x:v>
      </x:c>
      <x:c r="E1" s="6" t="str">
        <x:v>status</x:v>
      </x:c>
    </x:row>
    <x:row r="2">
      <x:c r="A2" s="7" t="str">
        <x:v>AKF</x:v>
      </x:c>
      <x:c r="B2" s="7" t="str">
        <x:v>AKF-AC</x:v>
      </x:c>
      <x:c r="C2" s="7" t="str">
        <x:v>Akwaaba Accra Central</x:v>
      </x:c>
      <x:c r="D2" s="7" t="str">
        <x:v>Accra Central</x:v>
      </x:c>
      <x:c r="E2" s="7" t="str">
        <x:v>ACTIVE</x:v>
      </x:c>
    </x:row>
    <x:row r="3">
      <x:c r="A3" s="7" t="str">
        <x:v>AKF</x:v>
      </x:c>
      <x:c r="B3" s="7" t="str">
        <x:v>AKF-KU</x:v>
      </x:c>
      <x:c r="C3" s="7" t="str">
        <x:v>Akwaaba Kumasi Ridge</x:v>
      </x:c>
      <x:c r="D3" s="7" t="str">
        <x:v>Kumasi Ridge</x:v>
      </x:c>
      <x:c r="E3" s="7" t="str">
        <x:v>ACTIVE</x:v>
      </x:c>
    </x:row>
    <x:row r="4">
      <x:c r="A4" s="7" t="str">
        <x:v>NBF</x:v>
      </x:c>
      <x:c r="B4" s="7" t="str">
        <x:v>NBF-TA</x:v>
      </x:c>
      <x:c r="C4" s="7" t="str">
        <x:v>Northbridge Tamale North</x:v>
      </x:c>
      <x:c r="D4" s="7" t="str">
        <x:v>Tamale North</x:v>
      </x:c>
      <x:c r="E4" s="7" t="str">
        <x:v>ACTIVE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</x:cols>
  <x:sheetData>
    <x:row r="1">
      <x:c r="A1" s="6" t="str">
        <x:v>companyCode</x:v>
      </x:c>
      <x:c r="B1" s="6" t="str">
        <x:v>name</x:v>
      </x:c>
      <x:c r="C1" s="6" t="str">
        <x:v>email</x:v>
      </x:c>
      <x:c r="D1" s="6" t="str">
        <x:v>role</x:v>
      </x:c>
      <x:c r="E1" s="6" t="str">
        <x:v>stationCode</x:v>
      </x:c>
      <x:c r="F1" s="6" t="str">
        <x:v>temporaryPasswordPolicy</x:v>
      </x:c>
      <x:c r="G1" s="6" t="str">
        <x:v>status</x:v>
      </x:c>
    </x:row>
    <x:row r="2">
      <x:c r="A2" s="7" t="str">
        <x:v>AKF</x:v>
      </x:c>
      <x:c r="B2" s="7" t="str">
        <x:v>Ama Boateng</x:v>
      </x:c>
      <x:c r="C2" s="7" t="str">
        <x:v>ama.boateng@akwaabaenergy.com</x:v>
      </x:c>
      <x:c r="D2" s="7" t="str">
        <x:v>OWNER</x:v>
      </x:c>
      <x:c r="E2" s="7" t="str"/>
      <x:c r="F2" s="7" t="str">
        <x:v>Generate temporary password; force reset</x:v>
      </x:c>
      <x:c r="G2" s="7" t="str">
        <x:v>ACTIVE</x:v>
      </x:c>
    </x:row>
    <x:row r="3">
      <x:c r="A3" s="7" t="str">
        <x:v>AKF</x:v>
      </x:c>
      <x:c r="B3" s="7" t="str">
        <x:v>Kwesi Mensah</x:v>
      </x:c>
      <x:c r="C3" s="7" t="str">
        <x:v>kwesi.mensah@akwaabaenergy.com</x:v>
      </x:c>
      <x:c r="D3" s="7" t="str">
        <x:v>ADMIN</x:v>
      </x:c>
      <x:c r="E3" s="7" t="str"/>
      <x:c r="F3" s="7" t="str">
        <x:v>Generate temporary password; force reset</x:v>
      </x:c>
      <x:c r="G3" s="7" t="str">
        <x:v>ACTIVE</x:v>
      </x:c>
    </x:row>
    <x:row r="4">
      <x:c r="A4" s="7" t="str">
        <x:v>AKF</x:v>
      </x:c>
      <x:c r="B4" s="7" t="str">
        <x:v>Linda Owusu</x:v>
      </x:c>
      <x:c r="C4" s="7" t="str">
        <x:v>linda.owusu@akwaabaenergy.com</x:v>
      </x:c>
      <x:c r="D4" s="7" t="str">
        <x:v>STATION_MANAGER</x:v>
      </x:c>
      <x:c r="E4" s="7" t="str">
        <x:v>AKF-AC</x:v>
      </x:c>
      <x:c r="F4" s="7" t="str">
        <x:v>Generate temporary password; force reset</x:v>
      </x:c>
      <x:c r="G4" s="7" t="str">
        <x:v>ACTIVE</x:v>
      </x:c>
    </x:row>
    <x:row r="5">
      <x:c r="A5" s="7" t="str">
        <x:v>AKF</x:v>
      </x:c>
      <x:c r="B5" s="7" t="str">
        <x:v>Kojo Armah</x:v>
      </x:c>
      <x:c r="C5" s="7" t="str">
        <x:v>kojo.armah@akwaabaenergy.com</x:v>
      </x:c>
      <x:c r="D5" s="7" t="str">
        <x:v>SUPERVISOR</x:v>
      </x:c>
      <x:c r="E5" s="7" t="str">
        <x:v>AKF-AC</x:v>
      </x:c>
      <x:c r="F5" s="7" t="str">
        <x:v>Generate temporary password; force reset</x:v>
      </x:c>
      <x:c r="G5" s="7" t="str">
        <x:v>ACTIVE</x:v>
      </x:c>
    </x:row>
    <x:row r="6">
      <x:c r="A6" s="7" t="str">
        <x:v>AKF</x:v>
      </x:c>
      <x:c r="B6" s="7" t="str">
        <x:v>Adwoa Serwaa</x:v>
      </x:c>
      <x:c r="C6" s="7" t="str">
        <x:v>adwoa.serwaa@akwaabaenergy.com</x:v>
      </x:c>
      <x:c r="D6" s="7" t="str">
        <x:v>ATTENDANT</x:v>
      </x:c>
      <x:c r="E6" s="7" t="str">
        <x:v>AKF-AC</x:v>
      </x:c>
      <x:c r="F6" s="7" t="str">
        <x:v>Generate temporary password; force reset</x:v>
      </x:c>
      <x:c r="G6" s="7" t="str">
        <x:v>ACTIVE</x:v>
      </x:c>
    </x:row>
    <x:row r="7">
      <x:c r="A7" s="7" t="str">
        <x:v>AKF</x:v>
      </x:c>
      <x:c r="B7" s="7" t="str">
        <x:v>Nana Agyekum</x:v>
      </x:c>
      <x:c r="C7" s="7" t="str">
        <x:v>nana.agyekum@akwaabaenergy.com</x:v>
      </x:c>
      <x:c r="D7" s="7" t="str">
        <x:v>STATION_MANAGER</x:v>
      </x:c>
      <x:c r="E7" s="7" t="str">
        <x:v>AKF-KU</x:v>
      </x:c>
      <x:c r="F7" s="7" t="str">
        <x:v>Generate temporary password; force reset</x:v>
      </x:c>
      <x:c r="G7" s="7" t="str">
        <x:v>ACTIVE</x:v>
      </x:c>
    </x:row>
    <x:row r="8">
      <x:c r="A8" s="7" t="str">
        <x:v>AKF</x:v>
      </x:c>
      <x:c r="B8" s="7" t="str">
        <x:v>Esi Arthur</x:v>
      </x:c>
      <x:c r="C8" s="7" t="str">
        <x:v>esi.arthur@akwaabaenergy.com</x:v>
      </x:c>
      <x:c r="D8" s="7" t="str">
        <x:v>SUPERVISOR</x:v>
      </x:c>
      <x:c r="E8" s="7" t="str">
        <x:v>AKF-KU</x:v>
      </x:c>
      <x:c r="F8" s="7" t="str">
        <x:v>Generate temporary password; force reset</x:v>
      </x:c>
      <x:c r="G8" s="7" t="str">
        <x:v>ACTIVE</x:v>
      </x:c>
    </x:row>
    <x:row r="9">
      <x:c r="A9" s="7" t="str">
        <x:v>NBF</x:v>
      </x:c>
      <x:c r="B9" s="7" t="str">
        <x:v>Suleman Yakubu</x:v>
      </x:c>
      <x:c r="C9" s="7" t="str">
        <x:v>suleman.yakubu@northbridgefuels.com</x:v>
      </x:c>
      <x:c r="D9" s="7" t="str">
        <x:v>OWNER</x:v>
      </x:c>
      <x:c r="E9" s="7" t="str"/>
      <x:c r="F9" s="7" t="str">
        <x:v>Generate temporary password; force reset</x:v>
      </x:c>
      <x:c r="G9" s="7" t="str">
        <x:v>ACTIVE</x:v>
      </x:c>
    </x:row>
    <x:row r="10">
      <x:c r="A10" s="7" t="str">
        <x:v>NBF</x:v>
      </x:c>
      <x:c r="B10" s="7" t="str">
        <x:v>Aisha Abubakar</x:v>
      </x:c>
      <x:c r="C10" s="7" t="str">
        <x:v>aisha.abubakar@northbridgefuels.com</x:v>
      </x:c>
      <x:c r="D10" s="7" t="str">
        <x:v>STATION_MANAGER</x:v>
      </x:c>
      <x:c r="E10" s="7" t="str">
        <x:v>NBF-TA</x:v>
      </x:c>
      <x:c r="F10" s="7" t="str">
        <x:v>Generate temporary password; force reset</x:v>
      </x:c>
      <x:c r="G10" s="7" t="str">
        <x:v>ACTIVE</x:v>
      </x:c>
    </x:row>
    <x:row r="11">
      <x:c r="A11" s="7" t="str">
        <x:v>NBF</x:v>
      </x:c>
      <x:c r="B11" s="7" t="str">
        <x:v>Issah Mohammed</x:v>
      </x:c>
      <x:c r="C11" s="7" t="str">
        <x:v>issah.mohammed@northbridgefuels.com</x:v>
      </x:c>
      <x:c r="D11" s="7" t="str">
        <x:v>SUPERVISOR</x:v>
      </x:c>
      <x:c r="E11" s="7" t="str">
        <x:v>NBF-TA</x:v>
      </x:c>
      <x:c r="F11" s="7" t="str">
        <x:v>Generate temporary password; force reset</x:v>
      </x:c>
      <x:c r="G11" s="7" t="str">
        <x:v>ACTIVE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</x:cols>
  <x:sheetData>
    <x:row r="1">
      <x:c r="A1" s="6" t="str">
        <x:v>companyCode</x:v>
      </x:c>
      <x:c r="B1" s="6" t="str">
        <x:v>productCode</x:v>
      </x:c>
      <x:c r="C1" s="6" t="str">
        <x:v>productName</x:v>
      </x:c>
      <x:c r="D1" s="6" t="str">
        <x:v>category</x:v>
      </x:c>
      <x:c r="E1" s="6" t="str">
        <x:v>isActive</x:v>
      </x:c>
    </x:row>
    <x:row r="2">
      <x:c r="A2" s="7" t="str">
        <x:v>AKF</x:v>
      </x:c>
      <x:c r="B2" s="7" t="str">
        <x:v>S95</x:v>
      </x:c>
      <x:c r="C2" s="7" t="str">
        <x:v>Super 95</x:v>
      </x:c>
      <x:c r="D2" s="7" t="str">
        <x:v>FUEL</x:v>
      </x:c>
      <x:c r="E2" s="12" t="b">
        <x:v>1</x:v>
      </x:c>
    </x:row>
    <x:row r="3">
      <x:c r="A3" s="7" t="str">
        <x:v>AKF</x:v>
      </x:c>
      <x:c r="B3" s="7" t="str">
        <x:v>S91</x:v>
      </x:c>
      <x:c r="C3" s="7" t="str">
        <x:v>Super 91</x:v>
      </x:c>
      <x:c r="D3" s="7" t="str">
        <x:v>FUEL</x:v>
      </x:c>
      <x:c r="E3" s="12" t="b">
        <x:v>1</x:v>
      </x:c>
    </x:row>
    <x:row r="4">
      <x:c r="A4" s="7" t="str">
        <x:v>AKF</x:v>
      </x:c>
      <x:c r="B4" s="7" t="str">
        <x:v>AGO</x:v>
      </x:c>
      <x:c r="C4" s="7" t="str">
        <x:v>Diesel</x:v>
      </x:c>
      <x:c r="D4" s="7" t="str">
        <x:v>FUEL</x:v>
      </x:c>
      <x:c r="E4" s="12" t="b">
        <x:v>1</x:v>
      </x:c>
    </x:row>
    <x:row r="5">
      <x:c r="A5" s="7" t="str">
        <x:v>AKF</x:v>
      </x:c>
      <x:c r="B5" s="7" t="str">
        <x:v>EO5W30</x:v>
      </x:c>
      <x:c r="C5" s="7" t="str">
        <x:v>Engine Oil 5W-30</x:v>
      </x:c>
      <x:c r="D5" s="7" t="str">
        <x:v>LUBRICANT</x:v>
      </x:c>
      <x:c r="E5" s="12" t="b">
        <x:v>1</x:v>
      </x:c>
    </x:row>
    <x:row r="6">
      <x:c r="A6" s="7" t="str">
        <x:v>AKF</x:v>
      </x:c>
      <x:c r="B6" s="7" t="str">
        <x:v>OILFIL</x:v>
      </x:c>
      <x:c r="C6" s="7" t="str">
        <x:v>Oil Filter</x:v>
      </x:c>
      <x:c r="D6" s="7" t="str">
        <x:v>OTHER</x:v>
      </x:c>
      <x:c r="E6" s="12" t="b">
        <x:v>1</x:v>
      </x:c>
    </x:row>
    <x:row r="7">
      <x:c r="A7" s="7" t="str">
        <x:v>AKF</x:v>
      </x:c>
      <x:c r="B7" s="7" t="str">
        <x:v>BRKPAD</x:v>
      </x:c>
      <x:c r="C7" s="7" t="str">
        <x:v>Brake Pads</x:v>
      </x:c>
      <x:c r="D7" s="7" t="str">
        <x:v>OTHER</x:v>
      </x:c>
      <x:c r="E7" s="12" t="b">
        <x:v>1</x:v>
      </x:c>
    </x:row>
    <x:row r="8">
      <x:c r="A8" s="7" t="str">
        <x:v>NBF</x:v>
      </x:c>
      <x:c r="B8" s="7" t="str">
        <x:v>S95</x:v>
      </x:c>
      <x:c r="C8" s="7" t="str">
        <x:v>Super 95</x:v>
      </x:c>
      <x:c r="D8" s="7" t="str">
        <x:v>FUEL</x:v>
      </x:c>
      <x:c r="E8" s="12" t="b">
        <x:v>1</x:v>
      </x:c>
    </x:row>
    <x:row r="9">
      <x:c r="A9" s="7" t="str">
        <x:v>NBF</x:v>
      </x:c>
      <x:c r="B9" s="7" t="str">
        <x:v>S91</x:v>
      </x:c>
      <x:c r="C9" s="7" t="str">
        <x:v>Super 91</x:v>
      </x:c>
      <x:c r="D9" s="7" t="str">
        <x:v>FUEL</x:v>
      </x:c>
      <x:c r="E9" s="12" t="b">
        <x:v>1</x:v>
      </x:c>
    </x:row>
    <x:row r="10">
      <x:c r="A10" s="7" t="str">
        <x:v>NBF</x:v>
      </x:c>
      <x:c r="B10" s="7" t="str">
        <x:v>AGO</x:v>
      </x:c>
      <x:c r="C10" s="7" t="str">
        <x:v>Diesel</x:v>
      </x:c>
      <x:c r="D10" s="7" t="str">
        <x:v>FUEL</x:v>
      </x:c>
      <x:c r="E10" s="12" t="b">
        <x:v>1</x:v>
      </x:c>
    </x:row>
    <x:row r="11">
      <x:c r="A11" s="7" t="str">
        <x:v>NBF</x:v>
      </x:c>
      <x:c r="B11" s="7" t="str">
        <x:v>EO15W40</x:v>
      </x:c>
      <x:c r="C11" s="7" t="str">
        <x:v>Engine Oil 15W-40</x:v>
      </x:c>
      <x:c r="D11" s="7" t="str">
        <x:v>LUBRICANT</x:v>
      </x:c>
      <x:c r="E11" s="12" t="b">
        <x:v>1</x:v>
      </x:c>
    </x:row>
    <x:row r="12">
      <x:c r="A12" s="7" t="str">
        <x:v>NBF</x:v>
      </x:c>
      <x:c r="B12" s="7" t="str">
        <x:v>AIRFIL</x:v>
      </x:c>
      <x:c r="C12" s="7" t="str">
        <x:v>Air Filter</x:v>
      </x:c>
      <x:c r="D12" s="7" t="str">
        <x:v>OTHER</x:v>
      </x:c>
      <x:c r="E12" s="12" t="b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</x:cols>
  <x:sheetData>
    <x:row r="1">
      <x:c r="A1" s="6" t="str">
        <x:v>companyCode</x:v>
      </x:c>
      <x:c r="B1" s="6" t="str">
        <x:v>stationCode</x:v>
      </x:c>
      <x:c r="C1" s="6" t="str">
        <x:v>productCode</x:v>
      </x:c>
      <x:c r="D1" s="6" t="str">
        <x:v>effectiveFrom</x:v>
      </x:c>
      <x:c r="E1" s="6" t="str">
        <x:v>price</x:v>
      </x:c>
      <x:c r="F1" s="6" t="str">
        <x:v>unit</x:v>
      </x:c>
    </x:row>
    <x:row r="2">
      <x:c r="A2" s="7" t="str">
        <x:v>AKF</x:v>
      </x:c>
      <x:c r="B2" s="7" t="str">
        <x:v>AKF-AC</x:v>
      </x:c>
      <x:c r="C2" s="7" t="str">
        <x:v>S95</x:v>
      </x:c>
      <x:c r="D2" s="7" t="str">
        <x:v>19-Jun-2026</x:v>
      </x:c>
      <x:c r="E2" s="7" t="n">
        <x:v>15.31</x:v>
      </x:c>
      <x:c r="F2" s="7" t="str">
        <x:v>Litre</x:v>
      </x:c>
    </x:row>
    <x:row r="3">
      <x:c r="A3" s="7" t="str">
        <x:v>AKF</x:v>
      </x:c>
      <x:c r="B3" s="7" t="str">
        <x:v>AKF-AC</x:v>
      </x:c>
      <x:c r="C3" s="7" t="str">
        <x:v>S91</x:v>
      </x:c>
      <x:c r="D3" s="7" t="str">
        <x:v>19-Jun-2026</x:v>
      </x:c>
      <x:c r="E3" s="7" t="n">
        <x:v>14.85</x:v>
      </x:c>
      <x:c r="F3" s="7" t="str">
        <x:v>Litre</x:v>
      </x:c>
    </x:row>
    <x:row r="4">
      <x:c r="A4" s="7" t="str">
        <x:v>AKF</x:v>
      </x:c>
      <x:c r="B4" s="7" t="str">
        <x:v>AKF-AC</x:v>
      </x:c>
      <x:c r="C4" s="7" t="str">
        <x:v>AGO</x:v>
      </x:c>
      <x:c r="D4" s="7" t="str">
        <x:v>19-Jun-2026</x:v>
      </x:c>
      <x:c r="E4" s="7" t="n">
        <x:v>15.95</x:v>
      </x:c>
      <x:c r="F4" s="7" t="str">
        <x:v>Litre</x:v>
      </x:c>
    </x:row>
    <x:row r="5">
      <x:c r="A5" s="7" t="str">
        <x:v>AKF</x:v>
      </x:c>
      <x:c r="B5" s="7" t="str">
        <x:v>AKF-AC</x:v>
      </x:c>
      <x:c r="C5" s="7" t="str">
        <x:v>EO5W30</x:v>
      </x:c>
      <x:c r="D5" s="7" t="str">
        <x:v>19-Jun-2026</x:v>
      </x:c>
      <x:c r="E5" s="7" t="n">
        <x:v>95</x:v>
      </x:c>
      <x:c r="F5" s="7" t="str">
        <x:v>Each</x:v>
      </x:c>
    </x:row>
    <x:row r="6">
      <x:c r="A6" s="7" t="str">
        <x:v>AKF</x:v>
      </x:c>
      <x:c r="B6" s="7" t="str">
        <x:v>AKF-AC</x:v>
      </x:c>
      <x:c r="C6" s="7" t="str">
        <x:v>OILFIL</x:v>
      </x:c>
      <x:c r="D6" s="7" t="str">
        <x:v>19-Jun-2026</x:v>
      </x:c>
      <x:c r="E6" s="7" t="n">
        <x:v>80</x:v>
      </x:c>
      <x:c r="F6" s="7" t="str">
        <x:v>Each</x:v>
      </x:c>
    </x:row>
    <x:row r="7">
      <x:c r="A7" s="7" t="str">
        <x:v>AKF</x:v>
      </x:c>
      <x:c r="B7" s="7" t="str">
        <x:v>AKF-AC</x:v>
      </x:c>
      <x:c r="C7" s="7" t="str">
        <x:v>BRKPAD</x:v>
      </x:c>
      <x:c r="D7" s="7" t="str">
        <x:v>19-Jun-2026</x:v>
      </x:c>
      <x:c r="E7" s="7" t="n">
        <x:v>220</x:v>
      </x:c>
      <x:c r="F7" s="7" t="str">
        <x:v>Each</x:v>
      </x:c>
    </x:row>
    <x:row r="8">
      <x:c r="A8" s="7" t="str">
        <x:v>AKF</x:v>
      </x:c>
      <x:c r="B8" s="7" t="str">
        <x:v>AKF-KU</x:v>
      </x:c>
      <x:c r="C8" s="7" t="str">
        <x:v>S95</x:v>
      </x:c>
      <x:c r="D8" s="7" t="str">
        <x:v>19-Jun-2026</x:v>
      </x:c>
      <x:c r="E8" s="7" t="n">
        <x:v>15.29</x:v>
      </x:c>
      <x:c r="F8" s="7" t="str">
        <x:v>Litre</x:v>
      </x:c>
    </x:row>
    <x:row r="9">
      <x:c r="A9" s="7" t="str">
        <x:v>AKF</x:v>
      </x:c>
      <x:c r="B9" s="7" t="str">
        <x:v>AKF-KU</x:v>
      </x:c>
      <x:c r="C9" s="7" t="str">
        <x:v>S91</x:v>
      </x:c>
      <x:c r="D9" s="7" t="str">
        <x:v>19-Jun-2026</x:v>
      </x:c>
      <x:c r="E9" s="7" t="n">
        <x:v>14.82</x:v>
      </x:c>
      <x:c r="F9" s="7" t="str">
        <x:v>Litre</x:v>
      </x:c>
    </x:row>
    <x:row r="10">
      <x:c r="A10" s="7" t="str">
        <x:v>AKF</x:v>
      </x:c>
      <x:c r="B10" s="7" t="str">
        <x:v>AKF-KU</x:v>
      </x:c>
      <x:c r="C10" s="7" t="str">
        <x:v>AGO</x:v>
      </x:c>
      <x:c r="D10" s="7" t="str">
        <x:v>19-Jun-2026</x:v>
      </x:c>
      <x:c r="E10" s="7" t="n">
        <x:v>15.9</x:v>
      </x:c>
      <x:c r="F10" s="7" t="str">
        <x:v>Litre</x:v>
      </x:c>
    </x:row>
    <x:row r="11">
      <x:c r="A11" s="7" t="str">
        <x:v>AKF</x:v>
      </x:c>
      <x:c r="B11" s="7" t="str">
        <x:v>AKF-KU</x:v>
      </x:c>
      <x:c r="C11" s="7" t="str">
        <x:v>EO5W30</x:v>
      </x:c>
      <x:c r="D11" s="7" t="str">
        <x:v>19-Jun-2026</x:v>
      </x:c>
      <x:c r="E11" s="7" t="n">
        <x:v>95</x:v>
      </x:c>
      <x:c r="F11" s="7" t="str">
        <x:v>Each</x:v>
      </x:c>
    </x:row>
    <x:row r="12">
      <x:c r="A12" s="7" t="str">
        <x:v>AKF</x:v>
      </x:c>
      <x:c r="B12" s="7" t="str">
        <x:v>AKF-KU</x:v>
      </x:c>
      <x:c r="C12" s="7" t="str">
        <x:v>OILFIL</x:v>
      </x:c>
      <x:c r="D12" s="7" t="str">
        <x:v>19-Jun-2026</x:v>
      </x:c>
      <x:c r="E12" s="7" t="n">
        <x:v>80</x:v>
      </x:c>
      <x:c r="F12" s="7" t="str">
        <x:v>Each</x:v>
      </x:c>
    </x:row>
    <x:row r="13">
      <x:c r="A13" s="7" t="str">
        <x:v>NBF</x:v>
      </x:c>
      <x:c r="B13" s="7" t="str">
        <x:v>NBF-TA</x:v>
      </x:c>
      <x:c r="C13" s="7" t="str">
        <x:v>S95</x:v>
      </x:c>
      <x:c r="D13" s="7" t="str">
        <x:v>19-Jun-2026</x:v>
      </x:c>
      <x:c r="E13" s="7" t="n">
        <x:v>15.35</x:v>
      </x:c>
      <x:c r="F13" s="7" t="str">
        <x:v>Litre</x:v>
      </x:c>
    </x:row>
    <x:row r="14">
      <x:c r="A14" s="7" t="str">
        <x:v>NBF</x:v>
      </x:c>
      <x:c r="B14" s="7" t="str">
        <x:v>NBF-TA</x:v>
      </x:c>
      <x:c r="C14" s="7" t="str">
        <x:v>S91</x:v>
      </x:c>
      <x:c r="D14" s="7" t="str">
        <x:v>19-Jun-2026</x:v>
      </x:c>
      <x:c r="E14" s="7" t="n">
        <x:v>14.9</x:v>
      </x:c>
      <x:c r="F14" s="7" t="str">
        <x:v>Litre</x:v>
      </x:c>
    </x:row>
    <x:row r="15">
      <x:c r="A15" s="7" t="str">
        <x:v>NBF</x:v>
      </x:c>
      <x:c r="B15" s="7" t="str">
        <x:v>NBF-TA</x:v>
      </x:c>
      <x:c r="C15" s="7" t="str">
        <x:v>AGO</x:v>
      </x:c>
      <x:c r="D15" s="7" t="str">
        <x:v>19-Jun-2026</x:v>
      </x:c>
      <x:c r="E15" s="7" t="n">
        <x:v>16</x:v>
      </x:c>
      <x:c r="F15" s="7" t="str">
        <x:v>Litre</x:v>
      </x:c>
    </x:row>
    <x:row r="16">
      <x:c r="A16" s="7" t="str">
        <x:v>NBF</x:v>
      </x:c>
      <x:c r="B16" s="7" t="str">
        <x:v>NBF-TA</x:v>
      </x:c>
      <x:c r="C16" s="7" t="str">
        <x:v>EO15W40</x:v>
      </x:c>
      <x:c r="D16" s="7" t="str">
        <x:v>19-Jun-2026</x:v>
      </x:c>
      <x:c r="E16" s="7" t="n">
        <x:v>105</x:v>
      </x:c>
      <x:c r="F16" s="7" t="str">
        <x:v>Each</x:v>
      </x:c>
    </x:row>
    <x:row r="17">
      <x:c r="A17" s="7" t="str">
        <x:v>NBF</x:v>
      </x:c>
      <x:c r="B17" s="7" t="str">
        <x:v>NBF-TA</x:v>
      </x:c>
      <x:c r="C17" s="7" t="str">
        <x:v>AIRFIL</x:v>
      </x:c>
      <x:c r="D17" s="7" t="str">
        <x:v>19-Jun-2026</x:v>
      </x:c>
      <x:c r="E17" s="7" t="n">
        <x:v>65</x:v>
      </x:c>
      <x:c r="F17" s="7" t="str">
        <x:v>Each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</x:cols>
  <x:sheetData>
    <x:row r="1">
      <x:c r="A1" s="6" t="str">
        <x:v>companyCode</x:v>
      </x:c>
      <x:c r="B1" s="6" t="str">
        <x:v>stationCode</x:v>
      </x:c>
      <x:c r="C1" s="6" t="str">
        <x:v>tankCode</x:v>
      </x:c>
      <x:c r="D1" s="6" t="str">
        <x:v>tankName</x:v>
      </x:c>
      <x:c r="E1" s="6" t="str">
        <x:v>productCode</x:v>
      </x:c>
      <x:c r="F1" s="6" t="str">
        <x:v>capacityLitres</x:v>
      </x:c>
      <x:c r="G1" s="6" t="str">
        <x:v>status</x:v>
      </x:c>
    </x:row>
    <x:row r="2">
      <x:c r="A2" s="7" t="str">
        <x:v>AKF</x:v>
      </x:c>
      <x:c r="B2" s="7" t="str">
        <x:v>AKF-AC</x:v>
      </x:c>
      <x:c r="C2" s="7" t="str">
        <x:v>AC-T95</x:v>
      </x:c>
      <x:c r="D2" s="7" t="str">
        <x:v>Tank 1 - Super 95</x:v>
      </x:c>
      <x:c r="E2" s="7" t="str">
        <x:v>S95</x:v>
      </x:c>
      <x:c r="F2" s="7" t="n">
        <x:v>30000</x:v>
      </x:c>
      <x:c r="G2" s="7" t="str">
        <x:v>ACTIVE</x:v>
      </x:c>
    </x:row>
    <x:row r="3">
      <x:c r="A3" s="7" t="str">
        <x:v>AKF</x:v>
      </x:c>
      <x:c r="B3" s="7" t="str">
        <x:v>AKF-AC</x:v>
      </x:c>
      <x:c r="C3" s="7" t="str">
        <x:v>AC-T91</x:v>
      </x:c>
      <x:c r="D3" s="7" t="str">
        <x:v>Tank 2 - Super 91</x:v>
      </x:c>
      <x:c r="E3" s="7" t="str">
        <x:v>S91</x:v>
      </x:c>
      <x:c r="F3" s="7" t="n">
        <x:v>25000</x:v>
      </x:c>
      <x:c r="G3" s="7" t="str">
        <x:v>ACTIVE</x:v>
      </x:c>
    </x:row>
    <x:row r="4">
      <x:c r="A4" s="7" t="str">
        <x:v>AKF</x:v>
      </x:c>
      <x:c r="B4" s="7" t="str">
        <x:v>AKF-AC</x:v>
      </x:c>
      <x:c r="C4" s="7" t="str">
        <x:v>AC-TD1</x:v>
      </x:c>
      <x:c r="D4" s="7" t="str">
        <x:v>Tank 3 - Diesel</x:v>
      </x:c>
      <x:c r="E4" s="7" t="str">
        <x:v>AGO</x:v>
      </x:c>
      <x:c r="F4" s="7" t="n">
        <x:v>35000</x:v>
      </x:c>
      <x:c r="G4" s="7" t="str">
        <x:v>ACTIVE</x:v>
      </x:c>
    </x:row>
    <x:row r="5">
      <x:c r="A5" s="7" t="str">
        <x:v>AKF</x:v>
      </x:c>
      <x:c r="B5" s="7" t="str">
        <x:v>AKF-KU</x:v>
      </x:c>
      <x:c r="C5" s="7" t="str">
        <x:v>KU-T95</x:v>
      </x:c>
      <x:c r="D5" s="7" t="str">
        <x:v>Tank 1 - Super 95</x:v>
      </x:c>
      <x:c r="E5" s="7" t="str">
        <x:v>S95</x:v>
      </x:c>
      <x:c r="F5" s="7" t="n">
        <x:v>25000</x:v>
      </x:c>
      <x:c r="G5" s="7" t="str">
        <x:v>ACTIVE</x:v>
      </x:c>
    </x:row>
    <x:row r="6">
      <x:c r="A6" s="7" t="str">
        <x:v>AKF</x:v>
      </x:c>
      <x:c r="B6" s="7" t="str">
        <x:v>AKF-KU</x:v>
      </x:c>
      <x:c r="C6" s="7" t="str">
        <x:v>KU-TD1</x:v>
      </x:c>
      <x:c r="D6" s="7" t="str">
        <x:v>Tank 2 - Diesel</x:v>
      </x:c>
      <x:c r="E6" s="7" t="str">
        <x:v>AGO</x:v>
      </x:c>
      <x:c r="F6" s="7" t="n">
        <x:v>30000</x:v>
      </x:c>
      <x:c r="G6" s="7" t="str">
        <x:v>ACTIVE</x:v>
      </x:c>
    </x:row>
    <x:row r="7">
      <x:c r="A7" s="7" t="str">
        <x:v>NBF</x:v>
      </x:c>
      <x:c r="B7" s="7" t="str">
        <x:v>NBF-TA</x:v>
      </x:c>
      <x:c r="C7" s="7" t="str">
        <x:v>TA-T91</x:v>
      </x:c>
      <x:c r="D7" s="7" t="str">
        <x:v>Tank 1 - Super 91</x:v>
      </x:c>
      <x:c r="E7" s="7" t="str">
        <x:v>S91</x:v>
      </x:c>
      <x:c r="F7" s="7" t="n">
        <x:v>22000</x:v>
      </x:c>
      <x:c r="G7" s="7" t="str">
        <x:v>ACTIVE</x:v>
      </x:c>
    </x:row>
    <x:row r="8">
      <x:c r="A8" s="7" t="str">
        <x:v>NBF</x:v>
      </x:c>
      <x:c r="B8" s="7" t="str">
        <x:v>NBF-TA</x:v>
      </x:c>
      <x:c r="C8" s="7" t="str">
        <x:v>TA-TD1</x:v>
      </x:c>
      <x:c r="D8" s="7" t="str">
        <x:v>Tank 2 - Diesel</x:v>
      </x:c>
      <x:c r="E8" s="7" t="str">
        <x:v>AGO</x:v>
      </x:c>
      <x:c r="F8" s="7" t="n">
        <x:v>30000</x:v>
      </x:c>
      <x:c r="G8" s="7" t="str">
        <x:v>ACTIVE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</x:cols>
  <x:sheetData>
    <x:row r="1">
      <x:c r="A1" s="6" t="str">
        <x:v>companyCode</x:v>
      </x:c>
      <x:c r="B1" s="6" t="str">
        <x:v>stationCode</x:v>
      </x:c>
      <x:c r="C1" s="6" t="str">
        <x:v>pumpCode</x:v>
      </x:c>
      <x:c r="D1" s="6" t="str">
        <x:v>pumpName</x:v>
      </x:c>
      <x:c r="E1" s="6" t="str">
        <x:v>status</x:v>
      </x:c>
    </x:row>
    <x:row r="2">
      <x:c r="A2" s="7" t="str">
        <x:v>AKF</x:v>
      </x:c>
      <x:c r="B2" s="7" t="str">
        <x:v>AKF-AC</x:v>
      </x:c>
      <x:c r="C2" s="7" t="str">
        <x:v>AC-P1</x:v>
      </x:c>
      <x:c r="D2" s="7" t="str">
        <x:v>Pump 1</x:v>
      </x:c>
      <x:c r="E2" s="7" t="str">
        <x:v>ACTIVE</x:v>
      </x:c>
    </x:row>
    <x:row r="3">
      <x:c r="A3" s="7" t="str">
        <x:v>AKF</x:v>
      </x:c>
      <x:c r="B3" s="7" t="str">
        <x:v>AKF-AC</x:v>
      </x:c>
      <x:c r="C3" s="7" t="str">
        <x:v>AC-P2</x:v>
      </x:c>
      <x:c r="D3" s="7" t="str">
        <x:v>Pump 2</x:v>
      </x:c>
      <x:c r="E3" s="7" t="str">
        <x:v>ACTIVE</x:v>
      </x:c>
    </x:row>
    <x:row r="4">
      <x:c r="A4" s="7" t="str">
        <x:v>AKF</x:v>
      </x:c>
      <x:c r="B4" s="7" t="str">
        <x:v>AKF-KU</x:v>
      </x:c>
      <x:c r="C4" s="7" t="str">
        <x:v>KU-P1</x:v>
      </x:c>
      <x:c r="D4" s="7" t="str">
        <x:v>Pump 1</x:v>
      </x:c>
      <x:c r="E4" s="7" t="str">
        <x:v>ACTIVE</x:v>
      </x:c>
    </x:row>
    <x:row r="5">
      <x:c r="A5" s="7" t="str">
        <x:v>AKF</x:v>
      </x:c>
      <x:c r="B5" s="7" t="str">
        <x:v>AKF-KU</x:v>
      </x:c>
      <x:c r="C5" s="7" t="str">
        <x:v>KU-P2</x:v>
      </x:c>
      <x:c r="D5" s="7" t="str">
        <x:v>Pump 2</x:v>
      </x:c>
      <x:c r="E5" s="7" t="str">
        <x:v>ACTIVE</x:v>
      </x:c>
    </x:row>
    <x:row r="6">
      <x:c r="A6" s="7" t="str">
        <x:v>NBF</x:v>
      </x:c>
      <x:c r="B6" s="7" t="str">
        <x:v>NBF-TA</x:v>
      </x:c>
      <x:c r="C6" s="7" t="str">
        <x:v>TA-P1</x:v>
      </x:c>
      <x:c r="D6" s="7" t="str">
        <x:v>Pump 1</x:v>
      </x:c>
      <x:c r="E6" s="7" t="str">
        <x:v>ACTIVE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</x:cols>
  <x:sheetData>
    <x:row r="1">
      <x:c r="A1" s="6" t="str">
        <x:v>companyCode</x:v>
      </x:c>
      <x:c r="B1" s="6" t="str">
        <x:v>stationCode</x:v>
      </x:c>
      <x:c r="C1" s="6" t="str">
        <x:v>pumpCode</x:v>
      </x:c>
      <x:c r="D1" s="6" t="str">
        <x:v>nozzleCode</x:v>
      </x:c>
      <x:c r="E1" s="6" t="str">
        <x:v>nozzleName</x:v>
      </x:c>
      <x:c r="F1" s="6" t="str">
        <x:v>productCode</x:v>
      </x:c>
      <x:c r="G1" s="6" t="str">
        <x:v>meterCode</x:v>
      </x:c>
      <x:c r="H1" s="6" t="str">
        <x:v>status</x:v>
      </x:c>
    </x:row>
    <x:row r="2">
      <x:c r="A2" s="7" t="str">
        <x:v>AKF</x:v>
      </x:c>
      <x:c r="B2" s="7" t="str">
        <x:v>AKF-AC</x:v>
      </x:c>
      <x:c r="C2" s="7" t="str">
        <x:v>AC-P1</x:v>
      </x:c>
      <x:c r="D2" s="7" t="str">
        <x:v>AC-P1-A</x:v>
      </x:c>
      <x:c r="E2" s="7" t="str">
        <x:v>Pump 1 - Nozzle A</x:v>
      </x:c>
      <x:c r="F2" s="7" t="str">
        <x:v>S95</x:v>
      </x:c>
      <x:c r="G2" s="7" t="str">
        <x:v>M-AC-95-A</x:v>
      </x:c>
      <x:c r="H2" s="7" t="str">
        <x:v>ACTIVE</x:v>
      </x:c>
    </x:row>
    <x:row r="3">
      <x:c r="A3" s="7" t="str">
        <x:v>AKF</x:v>
      </x:c>
      <x:c r="B3" s="7" t="str">
        <x:v>AKF-AC</x:v>
      </x:c>
      <x:c r="C3" s="7" t="str">
        <x:v>AC-P1</x:v>
      </x:c>
      <x:c r="D3" s="7" t="str">
        <x:v>AC-P1-B</x:v>
      </x:c>
      <x:c r="E3" s="7" t="str">
        <x:v>Pump 1 - Nozzle B</x:v>
      </x:c>
      <x:c r="F3" s="7" t="str">
        <x:v>AGO</x:v>
      </x:c>
      <x:c r="G3" s="7" t="str">
        <x:v>M-AC-D-B</x:v>
      </x:c>
      <x:c r="H3" s="7" t="str">
        <x:v>ACTIVE</x:v>
      </x:c>
    </x:row>
    <x:row r="4">
      <x:c r="A4" s="7" t="str">
        <x:v>AKF</x:v>
      </x:c>
      <x:c r="B4" s="7" t="str">
        <x:v>AKF-AC</x:v>
      </x:c>
      <x:c r="C4" s="7" t="str">
        <x:v>AC-P2</x:v>
      </x:c>
      <x:c r="D4" s="7" t="str">
        <x:v>AC-P2-A</x:v>
      </x:c>
      <x:c r="E4" s="7" t="str">
        <x:v>Pump 2 - Nozzle A</x:v>
      </x:c>
      <x:c r="F4" s="7" t="str">
        <x:v>S91</x:v>
      </x:c>
      <x:c r="G4" s="7" t="str">
        <x:v>M-AC-91-A</x:v>
      </x:c>
      <x:c r="H4" s="7" t="str">
        <x:v>ACTIVE</x:v>
      </x:c>
    </x:row>
    <x:row r="5">
      <x:c r="A5" s="7" t="str">
        <x:v>AKF</x:v>
      </x:c>
      <x:c r="B5" s="7" t="str">
        <x:v>AKF-AC</x:v>
      </x:c>
      <x:c r="C5" s="7" t="str">
        <x:v>AC-P2</x:v>
      </x:c>
      <x:c r="D5" s="7" t="str">
        <x:v>AC-P2-B</x:v>
      </x:c>
      <x:c r="E5" s="7" t="str">
        <x:v>Pump 2 - Nozzle B</x:v>
      </x:c>
      <x:c r="F5" s="7" t="str">
        <x:v>AGO</x:v>
      </x:c>
      <x:c r="G5" s="7" t="str">
        <x:v>M-AC-D-C</x:v>
      </x:c>
      <x:c r="H5" s="7" t="str">
        <x:v>ACTIVE</x:v>
      </x:c>
    </x:row>
    <x:row r="6">
      <x:c r="A6" s="7" t="str">
        <x:v>AKF</x:v>
      </x:c>
      <x:c r="B6" s="7" t="str">
        <x:v>AKF-KU</x:v>
      </x:c>
      <x:c r="C6" s="7" t="str">
        <x:v>KU-P1</x:v>
      </x:c>
      <x:c r="D6" s="7" t="str">
        <x:v>KU-P1-A</x:v>
      </x:c>
      <x:c r="E6" s="7" t="str">
        <x:v>Pump 1 - Nozzle A</x:v>
      </x:c>
      <x:c r="F6" s="7" t="str">
        <x:v>S95</x:v>
      </x:c>
      <x:c r="G6" s="7" t="str">
        <x:v>M-KU-95-A</x:v>
      </x:c>
      <x:c r="H6" s="7" t="str">
        <x:v>ACTIVE</x:v>
      </x:c>
    </x:row>
    <x:row r="7">
      <x:c r="A7" s="7" t="str">
        <x:v>AKF</x:v>
      </x:c>
      <x:c r="B7" s="7" t="str">
        <x:v>AKF-KU</x:v>
      </x:c>
      <x:c r="C7" s="7" t="str">
        <x:v>KU-P1</x:v>
      </x:c>
      <x:c r="D7" s="7" t="str">
        <x:v>KU-P1-B</x:v>
      </x:c>
      <x:c r="E7" s="7" t="str">
        <x:v>Pump 1 - Nozzle B</x:v>
      </x:c>
      <x:c r="F7" s="7" t="str">
        <x:v>AGO</x:v>
      </x:c>
      <x:c r="G7" s="7" t="str">
        <x:v>M-KU-D-B</x:v>
      </x:c>
      <x:c r="H7" s="7" t="str">
        <x:v>ACTIVE</x:v>
      </x:c>
    </x:row>
    <x:row r="8">
      <x:c r="A8" s="7" t="str">
        <x:v>AKF</x:v>
      </x:c>
      <x:c r="B8" s="7" t="str">
        <x:v>AKF-KU</x:v>
      </x:c>
      <x:c r="C8" s="7" t="str">
        <x:v>KU-P2</x:v>
      </x:c>
      <x:c r="D8" s="7" t="str">
        <x:v>KU-P2-A</x:v>
      </x:c>
      <x:c r="E8" s="7" t="str">
        <x:v>Pump 2 - Nozzle A</x:v>
      </x:c>
      <x:c r="F8" s="7" t="str">
        <x:v>AGO</x:v>
      </x:c>
      <x:c r="G8" s="7" t="str">
        <x:v>M-KU-D-C</x:v>
      </x:c>
      <x:c r="H8" s="7" t="str">
        <x:v>ACTIVE</x:v>
      </x:c>
    </x:row>
    <x:row r="9">
      <x:c r="A9" s="7" t="str">
        <x:v>NBF</x:v>
      </x:c>
      <x:c r="B9" s="7" t="str">
        <x:v>NBF-TA</x:v>
      </x:c>
      <x:c r="C9" s="7" t="str">
        <x:v>TA-P1</x:v>
      </x:c>
      <x:c r="D9" s="7" t="str">
        <x:v>TA-P1-A</x:v>
      </x:c>
      <x:c r="E9" s="7" t="str">
        <x:v>Pump 1 - Nozzle A</x:v>
      </x:c>
      <x:c r="F9" s="7" t="str">
        <x:v>S91</x:v>
      </x:c>
      <x:c r="G9" s="7" t="str">
        <x:v>M-TA-91-A</x:v>
      </x:c>
      <x:c r="H9" s="7" t="str">
        <x:v>ACTIVE</x:v>
      </x:c>
    </x:row>
    <x:row r="10">
      <x:c r="A10" s="7" t="str">
        <x:v>NBF</x:v>
      </x:c>
      <x:c r="B10" s="7" t="str">
        <x:v>NBF-TA</x:v>
      </x:c>
      <x:c r="C10" s="7" t="str">
        <x:v>TA-P1</x:v>
      </x:c>
      <x:c r="D10" s="7" t="str">
        <x:v>TA-P1-B</x:v>
      </x:c>
      <x:c r="E10" s="7" t="str">
        <x:v>Pump 1 - Nozzle B</x:v>
      </x:c>
      <x:c r="F10" s="7" t="str">
        <x:v>AGO</x:v>
      </x:c>
      <x:c r="G10" s="7" t="str">
        <x:v>M-TA-D-B</x:v>
      </x:c>
      <x:c r="H10" s="7" t="str">
        <x:v>ACTIVE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</x:cols>
  <x:sheetData>
    <x:row r="1">
      <x:c r="A1" s="6" t="str">
        <x:v>companyCode</x:v>
      </x:c>
      <x:c r="B1" s="6" t="str">
        <x:v>stationCode</x:v>
      </x:c>
      <x:c r="C1" s="6" t="str">
        <x:v>debtorCode</x:v>
      </x:c>
      <x:c r="D1" s="6" t="str">
        <x:v>debtorName</x:v>
      </x:c>
      <x:c r="E1" s="6" t="str">
        <x:v>phone</x:v>
      </x:c>
      <x:c r="F1" s="6" t="str">
        <x:v>email</x:v>
      </x:c>
      <x:c r="G1" s="6" t="str">
        <x:v>creditLimit</x:v>
      </x:c>
      <x:c r="H1" s="6" t="str">
        <x:v>openingBalance</x:v>
      </x:c>
      <x:c r="I1" s="6" t="str">
        <x:v>status</x:v>
      </x:c>
    </x:row>
    <x:row r="2">
      <x:c r="A2" s="7" t="str">
        <x:v>AKF</x:v>
      </x:c>
      <x:c r="B2" s="7" t="str">
        <x:v>AKF-AC</x:v>
      </x:c>
      <x:c r="C2" s="7" t="str">
        <x:v>AC-DBT-01</x:v>
      </x:c>
      <x:c r="D2" s="7" t="str">
        <x:v>Mensah Logistics</x:v>
      </x:c>
      <x:c r="E2" s="7" t="str">
        <x:v>0244001100</x:v>
      </x:c>
      <x:c r="F2" s="7" t="str">
        <x:v>accounts@mensahlogistics.com</x:v>
      </x:c>
      <x:c r="G2" s="7" t="n">
        <x:v>10000</x:v>
      </x:c>
      <x:c r="H2" s="7" t="n">
        <x:v>1250</x:v>
      </x:c>
      <x:c r="I2" s="7" t="str">
        <x:v>ACTIVE</x:v>
      </x:c>
    </x:row>
    <x:row r="3">
      <x:c r="A3" s="7" t="str">
        <x:v>AKF</x:v>
      </x:c>
      <x:c r="B3" s="7" t="str">
        <x:v>AKF-KU</x:v>
      </x:c>
      <x:c r="C3" s="7" t="str">
        <x:v>KU-DBT-01</x:v>
      </x:c>
      <x:c r="D3" s="7" t="str">
        <x:v>Ridge Construction</x:v>
      </x:c>
      <x:c r="E3" s="7" t="str">
        <x:v>0205002200</x:v>
      </x:c>
      <x:c r="F3" s="7" t="str">
        <x:v>payables@ridgeconstruction.com</x:v>
      </x:c>
      <x:c r="G3" s="7" t="n">
        <x:v>15000</x:v>
      </x:c>
      <x:c r="H3" s="7" t="n">
        <x:v>0</x:v>
      </x:c>
      <x:c r="I3" s="7" t="str">
        <x:v>ACTIVE</x:v>
      </x:c>
    </x:row>
    <x:row r="4">
      <x:c r="A4" s="7" t="str">
        <x:v>NBF</x:v>
      </x:c>
      <x:c r="B4" s="7" t="str">
        <x:v>NBF-TA</x:v>
      </x:c>
      <x:c r="C4" s="7" t="str">
        <x:v>TA-DBT-01</x:v>
      </x:c>
      <x:c r="D4" s="7" t="str">
        <x:v>Savannah Haulage</x:v>
      </x:c>
      <x:c r="E4" s="7" t="str">
        <x:v>0277003300</x:v>
      </x:c>
      <x:c r="F4" s="7" t="str">
        <x:v>finance@savannahhaulage.com</x:v>
      </x:c>
      <x:c r="G4" s="7" t="n">
        <x:v>8000</x:v>
      </x:c>
      <x:c r="H4" s="7" t="n">
        <x:v>780</x:v>
      </x:c>
      <x:c r="I4" s="7" t="str">
        <x:v>ACTIVE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</x:cols>
  <x:sheetData>
    <x:row r="1">
      <x:c r="A1" s="6" t="str">
        <x:v>companyCode</x:v>
      </x:c>
      <x:c r="B1" s="6" t="str">
        <x:v>stationCode</x:v>
      </x:c>
      <x:c r="C1" s="6" t="str">
        <x:v>businessDate</x:v>
      </x:c>
      <x:c r="D1" s="6" t="str">
        <x:v>shift</x:v>
      </x:c>
      <x:c r="E1" s="6" t="str">
        <x:v>openedByEmail</x:v>
      </x:c>
      <x:c r="F1" s="6" t="str">
        <x:v>status</x:v>
      </x:c>
    </x:row>
    <x:row r="2">
      <x:c r="A2" s="7" t="str">
        <x:v>AKF</x:v>
      </x:c>
      <x:c r="B2" s="7" t="str">
        <x:v>AKF-AC</x:v>
      </x:c>
      <x:c r="C2" s="7" t="str">
        <x:v>19-Jun-2026</x:v>
      </x:c>
      <x:c r="D2" s="7" t="str">
        <x:v>DAY</x:v>
      </x:c>
      <x:c r="E2" s="7" t="str">
        <x:v>kojo.armah@akwaabaenergy.com</x:v>
      </x:c>
      <x:c r="F2" s="7" t="str">
        <x:v>OPEN</x:v>
      </x:c>
    </x:row>
    <x:row r="3">
      <x:c r="A3" s="7" t="str">
        <x:v>AKF</x:v>
      </x:c>
      <x:c r="B3" s="7" t="str">
        <x:v>AKF-KU</x:v>
      </x:c>
      <x:c r="C3" s="7" t="str">
        <x:v>19-Jun-2026</x:v>
      </x:c>
      <x:c r="D3" s="7" t="str">
        <x:v>DAY</x:v>
      </x:c>
      <x:c r="E3" s="7" t="str">
        <x:v>esi.arthur@akwaabaenergy.com</x:v>
      </x:c>
      <x:c r="F3" s="7" t="str">
        <x:v>OPEN</x:v>
      </x:c>
    </x:row>
    <x:row r="4">
      <x:c r="A4" s="7" t="str">
        <x:v>NBF</x:v>
      </x:c>
      <x:c r="B4" s="7" t="str">
        <x:v>NBF-TA</x:v>
      </x:c>
      <x:c r="C4" s="7" t="str">
        <x:v>19-Jun-2026</x:v>
      </x:c>
      <x:c r="D4" s="7" t="str">
        <x:v>DAY</x:v>
      </x:c>
      <x:c r="E4" s="7" t="str">
        <x:v>issah.mohammed@northbridgefuels.com</x:v>
      </x:c>
      <x:c r="F4" s="7" t="str">
        <x:v>OPEN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  <x:col min="17" max="17" width="18.75" hidden="0" customWidth="1"/>
    <x:col min="18" max="18" width="18.75" hidden="0" customWidth="1"/>
    <x:col min="19" max="19" width="18.75" hidden="0" customWidth="1"/>
  </x:cols>
  <x:sheetData>
    <x:row r="1">
      <x:c r="A1" s="13" t="str">
        <x:v>companyCode</x:v>
      </x:c>
      <x:c r="B1" s="13" t="str">
        <x:v>stationCode</x:v>
      </x:c>
      <x:c r="C1" s="13" t="str">
        <x:v>businessDate</x:v>
      </x:c>
      <x:c r="D1" s="13" t="str">
        <x:v>shift</x:v>
      </x:c>
      <x:c r="E1" s="13" t="str">
        <x:v>nozzleCode</x:v>
      </x:c>
      <x:c r="F1" s="13" t="str">
        <x:v>productCode</x:v>
      </x:c>
      <x:c r="G1" s="13" t="str">
        <x:v>openingMeter</x:v>
      </x:c>
      <x:c r="H1" s="13" t="str">
        <x:v>closingMeter</x:v>
      </x:c>
      <x:c r="I1" s="13" t="str">
        <x:v>litresSoldFormula</x:v>
      </x:c>
      <x:c r="J1" s="13" t="str">
        <x:v>unitPrice</x:v>
      </x:c>
      <x:c r="K1" s="13" t="str">
        <x:v>expectedAmountFormula</x:v>
      </x:c>
      <x:c r="L1" s="13" t="str">
        <x:v>cashReceived</x:v>
      </x:c>
      <x:c r="M1" s="13" t="str">
        <x:v>goCardVisa</x:v>
      </x:c>
      <x:c r="N1" s="13" t="str">
        <x:v>coupon</x:v>
      </x:c>
      <x:c r="O1" s="13" t="str">
        <x:v>ghqrMomo</x:v>
      </x:c>
      <x:c r="P1" s="13" t="str">
        <x:v>creditSales</x:v>
      </x:c>
      <x:c r="Q1" s="13" t="str">
        <x:v>varianceFormula</x:v>
      </x:c>
      <x:c r="R1" s="13" t="str">
        <x:v>attendantEmail</x:v>
      </x:c>
      <x:c r="S1" s="13" t="str">
        <x:v>remarks</x:v>
      </x:c>
    </x:row>
    <x:row r="2">
      <x:c r="A2" s="14" t="str">
        <x:v>AKF</x:v>
      </x:c>
      <x:c r="B2" s="14" t="str">
        <x:v>AKF-AC</x:v>
      </x:c>
      <x:c r="C2" s="14" t="str">
        <x:v>19-Jun-2026</x:v>
      </x:c>
      <x:c r="D2" s="14" t="str">
        <x:v>DAY</x:v>
      </x:c>
      <x:c r="E2" s="14" t="str">
        <x:v>AC-P1-A</x:v>
      </x:c>
      <x:c r="F2" s="14" t="str">
        <x:v>S95</x:v>
      </x:c>
      <x:c r="G2" s="14" t="n">
        <x:v>49784.99</x:v>
      </x:c>
      <x:c r="H2" s="14" t="n">
        <x:v>50084.99</x:v>
      </x:c>
      <x:c r="I2" s="14" t="n">
        <x:f>H2-G2</x:f>
        <x:v>300</x:v>
      </x:c>
      <x:c r="J2" s="14" t="n">
        <x:v>15.31</x:v>
      </x:c>
      <x:c r="K2" s="14" t="n">
        <x:f>I2*J2</x:f>
        <x:v>4593</x:v>
      </x:c>
      <x:c r="L2" s="14" t="n">
        <x:v>3000</x:v>
      </x:c>
      <x:c r="M2" s="14" t="n">
        <x:v>500</x:v>
      </x:c>
      <x:c r="N2" s="14" t="n">
        <x:v>300</x:v>
      </x:c>
      <x:c r="O2" s="14" t="n">
        <x:v>793</x:v>
      </x:c>
      <x:c r="P2" s="14" t="n">
        <x:v>0</x:v>
      </x:c>
      <x:c r="Q2" s="14" t="n">
        <x:f>SUM(L2:P2)-K2</x:f>
        <x:v>0</x:v>
      </x:c>
      <x:c r="R2" s="14" t="str">
        <x:v>adwoa.serwaa@akwaabaenergy.com</x:v>
      </x:c>
      <x:c r="S2" s="14" t="str">
        <x:v>Balanced</x:v>
      </x:c>
    </x:row>
    <x:row r="3">
      <x:c r="A3" s="14" t="str">
        <x:v>AKF</x:v>
      </x:c>
      <x:c r="B3" s="14" t="str">
        <x:v>AKF-AC</x:v>
      </x:c>
      <x:c r="C3" s="14" t="str">
        <x:v>19-Jun-2026</x:v>
      </x:c>
      <x:c r="D3" s="14" t="str">
        <x:v>DAY</x:v>
      </x:c>
      <x:c r="E3" s="14" t="str">
        <x:v>AC-P1-B</x:v>
      </x:c>
      <x:c r="F3" s="14" t="str">
        <x:v>AGO</x:v>
      </x:c>
      <x:c r="G3" s="14" t="n">
        <x:v>22980.8</x:v>
      </x:c>
      <x:c r="H3" s="14" t="n">
        <x:v>23230.8</x:v>
      </x:c>
      <x:c r="I3" s="14" t="n">
        <x:f>H3-G3</x:f>
        <x:v>250</x:v>
      </x:c>
      <x:c r="J3" s="14" t="n">
        <x:v>15.95</x:v>
      </x:c>
      <x:c r="K3" s="14" t="n">
        <x:f>I3*J3</x:f>
        <x:v>3987.5</x:v>
      </x:c>
      <x:c r="L3" s="14" t="n">
        <x:v>2500</x:v>
      </x:c>
      <x:c r="M3" s="14" t="n">
        <x:v>600</x:v>
      </x:c>
      <x:c r="N3" s="14" t="n">
        <x:v>0</x:v>
      </x:c>
      <x:c r="O3" s="14" t="n">
        <x:v>887.5</x:v>
      </x:c>
      <x:c r="P3" s="14" t="n">
        <x:v>0</x:v>
      </x:c>
      <x:c r="Q3" s="14" t="n">
        <x:f>SUM(L3:P3)-K3</x:f>
        <x:v>0</x:v>
      </x:c>
      <x:c r="R3" s="14" t="str">
        <x:v>adwoa.serwaa@akwaabaenergy.com</x:v>
      </x:c>
      <x:c r="S3" s="14" t="str">
        <x:v>Balanced</x:v>
      </x:c>
    </x:row>
    <x:row r="4">
      <x:c r="A4" s="14" t="str">
        <x:v>AKF</x:v>
      </x:c>
      <x:c r="B4" s="14" t="str">
        <x:v>AKF-AC</x:v>
      </x:c>
      <x:c r="C4" s="14" t="str">
        <x:v>19-Jun-2026</x:v>
      </x:c>
      <x:c r="D4" s="14" t="str">
        <x:v>DAY</x:v>
      </x:c>
      <x:c r="E4" s="14" t="str">
        <x:v>AC-P2-A</x:v>
      </x:c>
      <x:c r="F4" s="14" t="str">
        <x:v>S91</x:v>
      </x:c>
      <x:c r="G4" s="14" t="n">
        <x:v>18840</x:v>
      </x:c>
      <x:c r="H4" s="14" t="n">
        <x:v>19020</x:v>
      </x:c>
      <x:c r="I4" s="14" t="n">
        <x:f>H4-G4</x:f>
        <x:v>180</x:v>
      </x:c>
      <x:c r="J4" s="14" t="n">
        <x:v>14.85</x:v>
      </x:c>
      <x:c r="K4" s="14" t="n">
        <x:f>I4*J4</x:f>
        <x:v>2673</x:v>
      </x:c>
      <x:c r="L4" s="14" t="n">
        <x:v>1800</x:v>
      </x:c>
      <x:c r="M4" s="14" t="n">
        <x:v>0</x:v>
      </x:c>
      <x:c r="N4" s="14" t="n">
        <x:v>200</x:v>
      </x:c>
      <x:c r="O4" s="14" t="n">
        <x:v>300</x:v>
      </x:c>
      <x:c r="P4" s="14" t="n">
        <x:v>373</x:v>
      </x:c>
      <x:c r="Q4" s="14" t="n">
        <x:f>SUM(L4:P4)-K4</x:f>
        <x:v>0</x:v>
      </x:c>
      <x:c r="R4" s="14" t="str">
        <x:v>adwoa.serwaa@akwaabaenergy.com</x:v>
      </x:c>
      <x:c r="S4" s="14" t="str">
        <x:v>Credit sale to Mensah Logistics</x:v>
      </x:c>
    </x:row>
    <x:row r="5">
      <x:c r="A5" s="14" t="str">
        <x:v>AKF</x:v>
      </x:c>
      <x:c r="B5" s="14" t="str">
        <x:v>AKF-AC</x:v>
      </x:c>
      <x:c r="C5" s="14" t="str">
        <x:v>19-Jun-2026</x:v>
      </x:c>
      <x:c r="D5" s="14" t="str">
        <x:v>DAY</x:v>
      </x:c>
      <x:c r="E5" s="14" t="str">
        <x:v>AC-P2-B</x:v>
      </x:c>
      <x:c r="F5" s="14" t="str">
        <x:v>AGO</x:v>
      </x:c>
      <x:c r="G5" s="14" t="n">
        <x:v>44120</x:v>
      </x:c>
      <x:c r="H5" s="14" t="n">
        <x:v>44340</x:v>
      </x:c>
      <x:c r="I5" s="14" t="n">
        <x:f>H5-G5</x:f>
        <x:v>220</x:v>
      </x:c>
      <x:c r="J5" s="14" t="n">
        <x:v>15.95</x:v>
      </x:c>
      <x:c r="K5" s="14" t="n">
        <x:f>I5*J5</x:f>
        <x:v>3509</x:v>
      </x:c>
      <x:c r="L5" s="14" t="n">
        <x:v>2400</x:v>
      </x:c>
      <x:c r="M5" s="14" t="n">
        <x:v>500</x:v>
      </x:c>
      <x:c r="N5" s="14" t="n">
        <x:v>0</x:v>
      </x:c>
      <x:c r="O5" s="14" t="n">
        <x:v>609</x:v>
      </x:c>
      <x:c r="P5" s="14" t="n">
        <x:v>0</x:v>
      </x:c>
      <x:c r="Q5" s="14" t="n">
        <x:f>SUM(L5:P5)-K5</x:f>
        <x:v>0</x:v>
      </x:c>
      <x:c r="R5" s="14" t="str">
        <x:v>adwoa.serwaa@akwaabaenergy.com</x:v>
      </x:c>
      <x:c r="S5" s="14" t="str">
        <x:v>Balanced</x:v>
      </x:c>
    </x:row>
    <x:row r="6">
      <x:c r="A6" s="14" t="str">
        <x:v>AKF</x:v>
      </x:c>
      <x:c r="B6" s="14" t="str">
        <x:v>AKF-KU</x:v>
      </x:c>
      <x:c r="C6" s="14" t="str">
        <x:v>19-Jun-2026</x:v>
      </x:c>
      <x:c r="D6" s="14" t="str">
        <x:v>DAY</x:v>
      </x:c>
      <x:c r="E6" s="14" t="str">
        <x:v>KU-P1-A</x:v>
      </x:c>
      <x:c r="F6" s="14" t="str">
        <x:v>S95</x:v>
      </x:c>
      <x:c r="G6" s="14" t="n">
        <x:v>10200</x:v>
      </x:c>
      <x:c r="H6" s="14" t="n">
        <x:v>10410</x:v>
      </x:c>
      <x:c r="I6" s="14" t="n">
        <x:f>H6-G6</x:f>
        <x:v>210</x:v>
      </x:c>
      <x:c r="J6" s="14" t="n">
        <x:v>15.29</x:v>
      </x:c>
      <x:c r="K6" s="14" t="n">
        <x:f>I6*J6</x:f>
        <x:v>3210.8999999999996</x:v>
      </x:c>
      <x:c r="L6" s="14" t="n">
        <x:v>2200</x:v>
      </x:c>
      <x:c r="M6" s="14" t="n">
        <x:v>500</x:v>
      </x:c>
      <x:c r="N6" s="14" t="n">
        <x:v>0</x:v>
      </x:c>
      <x:c r="O6" s="14" t="n">
        <x:v>510.9</x:v>
      </x:c>
      <x:c r="P6" s="14" t="n">
        <x:v>0</x:v>
      </x:c>
      <x:c r="Q6" s="14" t="n">
        <x:f>SUM(L6:P6)-K6</x:f>
        <x:v>4.547473508864641e-13</x:v>
      </x:c>
      <x:c r="R6" s="14" t="str">
        <x:v>esi.arthur@akwaabaenergy.com</x:v>
      </x:c>
      <x:c r="S6" s="14" t="str">
        <x:v>Balanced</x:v>
      </x:c>
    </x:row>
    <x:row r="7">
      <x:c r="A7" s="14" t="str">
        <x:v>AKF</x:v>
      </x:c>
      <x:c r="B7" s="14" t="str">
        <x:v>AKF-KU</x:v>
      </x:c>
      <x:c r="C7" s="14" t="str">
        <x:v>19-Jun-2026</x:v>
      </x:c>
      <x:c r="D7" s="14" t="str">
        <x:v>DAY</x:v>
      </x:c>
      <x:c r="E7" s="14" t="str">
        <x:v>KU-P1-B</x:v>
      </x:c>
      <x:c r="F7" s="14" t="str">
        <x:v>AGO</x:v>
      </x:c>
      <x:c r="G7" s="14" t="n">
        <x:v>7850</x:v>
      </x:c>
      <x:c r="H7" s="14" t="n">
        <x:v>8050</x:v>
      </x:c>
      <x:c r="I7" s="14" t="n">
        <x:f>H7-G7</x:f>
        <x:v>200</x:v>
      </x:c>
      <x:c r="J7" s="14" t="n">
        <x:v>15.9</x:v>
      </x:c>
      <x:c r="K7" s="14" t="n">
        <x:f>I7*J7</x:f>
        <x:v>3180</x:v>
      </x:c>
      <x:c r="L7" s="14" t="n">
        <x:v>2400</x:v>
      </x:c>
      <x:c r="M7" s="14" t="n">
        <x:v>0</x:v>
      </x:c>
      <x:c r="N7" s="14" t="n">
        <x:v>250</x:v>
      </x:c>
      <x:c r="O7" s="14" t="n">
        <x:v>530</x:v>
      </x:c>
      <x:c r="P7" s="14" t="n">
        <x:v>0</x:v>
      </x:c>
      <x:c r="Q7" s="14" t="n">
        <x:f>SUM(L7:P7)-K7</x:f>
        <x:v>0</x:v>
      </x:c>
      <x:c r="R7" s="14" t="str">
        <x:v>esi.arthur@akwaabaenergy.com</x:v>
      </x:c>
      <x:c r="S7" s="14" t="str">
        <x:v>Balanced</x:v>
      </x:c>
    </x:row>
    <x:row r="8">
      <x:c r="A8" s="14" t="str">
        <x:v>AKF</x:v>
      </x:c>
      <x:c r="B8" s="14" t="str">
        <x:v>AKF-KU</x:v>
      </x:c>
      <x:c r="C8" s="14" t="str">
        <x:v>19-Jun-2026</x:v>
      </x:c>
      <x:c r="D8" s="14" t="str">
        <x:v>DAY</x:v>
      </x:c>
      <x:c r="E8" s="14" t="str">
        <x:v>KU-P2-A</x:v>
      </x:c>
      <x:c r="F8" s="14" t="str">
        <x:v>AGO</x:v>
      </x:c>
      <x:c r="G8" s="14" t="n">
        <x:v>6400</x:v>
      </x:c>
      <x:c r="H8" s="14" t="n">
        <x:v>6550</x:v>
      </x:c>
      <x:c r="I8" s="14" t="n">
        <x:f>H8-G8</x:f>
        <x:v>150</x:v>
      </x:c>
      <x:c r="J8" s="14" t="n">
        <x:v>15.9</x:v>
      </x:c>
      <x:c r="K8" s="14" t="n">
        <x:f>I8*J8</x:f>
        <x:v>2385</x:v>
      </x:c>
      <x:c r="L8" s="14" t="n">
        <x:v>1800</x:v>
      </x:c>
      <x:c r="M8" s="14" t="n">
        <x:v>0</x:v>
      </x:c>
      <x:c r="N8" s="14" t="n">
        <x:v>0</x:v>
      </x:c>
      <x:c r="O8" s="14" t="n">
        <x:v>585</x:v>
      </x:c>
      <x:c r="P8" s="14" t="n">
        <x:v>0</x:v>
      </x:c>
      <x:c r="Q8" s="14" t="n">
        <x:f>SUM(L8:P8)-K8</x:f>
        <x:v>0</x:v>
      </x:c>
      <x:c r="R8" s="14" t="str">
        <x:v>esi.arthur@akwaabaenergy.com</x:v>
      </x:c>
      <x:c r="S8" s="14" t="str">
        <x:v>Balanced</x:v>
      </x:c>
    </x:row>
    <x:row r="9">
      <x:c r="A9" s="14" t="str">
        <x:v>NBF</x:v>
      </x:c>
      <x:c r="B9" s="14" t="str">
        <x:v>NBF-TA</x:v>
      </x:c>
      <x:c r="C9" s="14" t="str">
        <x:v>19-Jun-2026</x:v>
      </x:c>
      <x:c r="D9" s="14" t="str">
        <x:v>DAY</x:v>
      </x:c>
      <x:c r="E9" s="14" t="str">
        <x:v>TA-P1-A</x:v>
      </x:c>
      <x:c r="F9" s="14" t="str">
        <x:v>S91</x:v>
      </x:c>
      <x:c r="G9" s="14" t="n">
        <x:v>33010</x:v>
      </x:c>
      <x:c r="H9" s="14" t="n">
        <x:v>33160</x:v>
      </x:c>
      <x:c r="I9" s="14" t="n">
        <x:f>H9-G9</x:f>
        <x:v>150</x:v>
      </x:c>
      <x:c r="J9" s="14" t="n">
        <x:v>14.9</x:v>
      </x:c>
      <x:c r="K9" s="14" t="n">
        <x:f>I9*J9</x:f>
        <x:v>2235</x:v>
      </x:c>
      <x:c r="L9" s="14" t="n">
        <x:v>1600</x:v>
      </x:c>
      <x:c r="M9" s="14" t="n">
        <x:v>300</x:v>
      </x:c>
      <x:c r="N9" s="14" t="n">
        <x:v>0</x:v>
      </x:c>
      <x:c r="O9" s="14" t="n">
        <x:v>335</x:v>
      </x:c>
      <x:c r="P9" s="14" t="n">
        <x:v>0</x:v>
      </x:c>
      <x:c r="Q9" s="14" t="n">
        <x:f>SUM(L9:P9)-K9</x:f>
        <x:v>0</x:v>
      </x:c>
      <x:c r="R9" s="14" t="str">
        <x:v>issah.mohammed@northbridgefuels.com</x:v>
      </x:c>
      <x:c r="S9" s="14" t="str">
        <x:v>Balanced</x:v>
      </x:c>
    </x:row>
    <x:row r="10">
      <x:c r="A10" s="14" t="str">
        <x:v>NBF</x:v>
      </x:c>
      <x:c r="B10" s="14" t="str">
        <x:v>NBF-TA</x:v>
      </x:c>
      <x:c r="C10" s="14" t="str">
        <x:v>19-Jun-2026</x:v>
      </x:c>
      <x:c r="D10" s="14" t="str">
        <x:v>DAY</x:v>
      </x:c>
      <x:c r="E10" s="14" t="str">
        <x:v>TA-P1-B</x:v>
      </x:c>
      <x:c r="F10" s="14" t="str">
        <x:v>AGO</x:v>
      </x:c>
      <x:c r="G10" s="14" t="n">
        <x:v>21000</x:v>
      </x:c>
      <x:c r="H10" s="14" t="n">
        <x:v>21210</x:v>
      </x:c>
      <x:c r="I10" s="14" t="n">
        <x:f>H10-G10</x:f>
        <x:v>210</x:v>
      </x:c>
      <x:c r="J10" s="14" t="n">
        <x:v>16</x:v>
      </x:c>
      <x:c r="K10" s="14" t="n">
        <x:f>I10*J10</x:f>
        <x:v>3360</x:v>
      </x:c>
      <x:c r="L10" s="14" t="n">
        <x:v>2500</x:v>
      </x:c>
      <x:c r="M10" s="14" t="n">
        <x:v>0</x:v>
      </x:c>
      <x:c r="N10" s="14" t="n">
        <x:v>300</x:v>
      </x:c>
      <x:c r="O10" s="14" t="n">
        <x:v>560</x:v>
      </x:c>
      <x:c r="P10" s="14" t="n">
        <x:v>0</x:v>
      </x:c>
      <x:c r="Q10" s="14" t="n">
        <x:f>SUM(L10:P10)-K10</x:f>
        <x:v>0</x:v>
      </x:c>
      <x:c r="R10" s="14" t="str">
        <x:v>issah.mohammed@northbridgefuels.com</x:v>
      </x:c>
      <x:c r="S10" s="14" t="str">
        <x:v>Balanced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</x:cols>
  <x:sheetData>
    <x:row r="1">
      <x:c r="A1" s="6" t="str">
        <x:v>companyCode</x:v>
      </x:c>
      <x:c r="B1" s="6" t="str">
        <x:v>stationCode</x:v>
      </x:c>
      <x:c r="C1" s="6" t="str">
        <x:v>businessDate</x:v>
      </x:c>
      <x:c r="D1" s="6" t="str">
        <x:v>shift</x:v>
      </x:c>
      <x:c r="E1" s="6" t="str">
        <x:v>channel</x:v>
      </x:c>
      <x:c r="F1" s="6" t="str">
        <x:v>amount</x:v>
      </x:c>
      <x:c r="G1" s="6" t="str">
        <x:v>customerName</x:v>
      </x:c>
      <x:c r="H1" s="6" t="str">
        <x:v>attendantName</x:v>
      </x:c>
      <x:c r="I1" s="6" t="str">
        <x:v>referenceNumber</x:v>
      </x:c>
      <x:c r="J1" s="6" t="str">
        <x:v>serialNumber</x:v>
      </x:c>
      <x:c r="K1" s="6" t="str">
        <x:v>status</x:v>
      </x:c>
      <x:c r="L1" s="6" t="str">
        <x:v>remarks</x:v>
      </x:c>
    </x:row>
    <x:row r="2">
      <x:c r="A2" s="7" t="str">
        <x:v>AKF</x:v>
      </x:c>
      <x:c r="B2" s="7" t="str">
        <x:v>AKF-AC</x:v>
      </x:c>
      <x:c r="C2" s="7" t="str">
        <x:v>19-Jun-2026</x:v>
      </x:c>
      <x:c r="D2" s="7" t="str">
        <x:v>DAY</x:v>
      </x:c>
      <x:c r="E2" s="7" t="str">
        <x:v>GO_CARD</x:v>
      </x:c>
      <x:c r="F2" s="7" t="n">
        <x:v>1600</x:v>
      </x:c>
      <x:c r="G2" s="7" t="str">
        <x:v>Walk-in customers</x:v>
      </x:c>
      <x:c r="H2" s="7" t="str">
        <x:v>Adwoa Serwaa</x:v>
      </x:c>
      <x:c r="I2" s="7" t="str">
        <x:v>GC-AC-001</x:v>
      </x:c>
      <x:c r="J2" s="7" t="str"/>
      <x:c r="K2" s="7" t="str">
        <x:v>SUBMITTED_TO_HQ</x:v>
      </x:c>
      <x:c r="L2" s="7" t="str">
        <x:v>Aggregated GO Card/Visa from pump sales</x:v>
      </x:c>
    </x:row>
    <x:row r="3">
      <x:c r="A3" s="7" t="str">
        <x:v>AKF</x:v>
      </x:c>
      <x:c r="B3" s="7" t="str">
        <x:v>AKF-AC</x:v>
      </x:c>
      <x:c r="C3" s="7" t="str">
        <x:v>19-Jun-2026</x:v>
      </x:c>
      <x:c r="D3" s="7" t="str">
        <x:v>DAY</x:v>
      </x:c>
      <x:c r="E3" s="7" t="str">
        <x:v>GOIL_COUPON</x:v>
      </x:c>
      <x:c r="F3" s="7" t="n">
        <x:v>500</x:v>
      </x:c>
      <x:c r="G3" s="7" t="str">
        <x:v>Corporate coupons</x:v>
      </x:c>
      <x:c r="H3" s="7" t="str">
        <x:v>Adwoa Serwaa</x:v>
      </x:c>
      <x:c r="I3" s="7" t="str">
        <x:v>CP-AC-001</x:v>
      </x:c>
      <x:c r="J3" s="7" t="str">
        <x:v>CPS-001-005</x:v>
      </x:c>
      <x:c r="K3" s="7" t="str">
        <x:v>SUBMITTED_TO_HQ</x:v>
      </x:c>
      <x:c r="L3" s="7" t="str">
        <x:v>Aggregated coupons</x:v>
      </x:c>
    </x:row>
    <x:row r="4">
      <x:c r="A4" s="7" t="str">
        <x:v>AKF</x:v>
      </x:c>
      <x:c r="B4" s="7" t="str">
        <x:v>AKF-AC</x:v>
      </x:c>
      <x:c r="C4" s="7" t="str">
        <x:v>19-Jun-2026</x:v>
      </x:c>
      <x:c r="D4" s="7" t="str">
        <x:v>DAY</x:v>
      </x:c>
      <x:c r="E4" s="7" t="str">
        <x:v>GHQR</x:v>
      </x:c>
      <x:c r="F4" s="7" t="n">
        <x:v>2589.5</x:v>
      </x:c>
      <x:c r="G4" s="7" t="str">
        <x:v>Mobile payments</x:v>
      </x:c>
      <x:c r="H4" s="7" t="str">
        <x:v>Adwoa Serwaa</x:v>
      </x:c>
      <x:c r="I4" s="7" t="str">
        <x:v>GHQR-AC-001</x:v>
      </x:c>
      <x:c r="J4" s="7" t="str"/>
      <x:c r="K4" s="7" t="str">
        <x:v>SUBMITTED_TO_HQ</x:v>
      </x:c>
      <x:c r="L4" s="7" t="str">
        <x:v>Aggregated GHQR/MoMo</x:v>
      </x:c>
    </x:row>
    <x:row r="5">
      <x:c r="A5" s="7" t="str">
        <x:v>AKF</x:v>
      </x:c>
      <x:c r="B5" s="7" t="str">
        <x:v>AKF-KU</x:v>
      </x:c>
      <x:c r="C5" s="7" t="str">
        <x:v>19-Jun-2026</x:v>
      </x:c>
      <x:c r="D5" s="7" t="str">
        <x:v>DAY</x:v>
      </x:c>
      <x:c r="E5" s="7" t="str">
        <x:v>GO_CARD</x:v>
      </x:c>
      <x:c r="F5" s="7" t="n">
        <x:v>500</x:v>
      </x:c>
      <x:c r="G5" s="7" t="str">
        <x:v>Walk-in customers</x:v>
      </x:c>
      <x:c r="H5" s="7" t="str">
        <x:v>Esi Arthur</x:v>
      </x:c>
      <x:c r="I5" s="7" t="str">
        <x:v>GC-KU-001</x:v>
      </x:c>
      <x:c r="J5" s="7" t="str"/>
      <x:c r="K5" s="7" t="str">
        <x:v>SUBMITTED_TO_HQ</x:v>
      </x:c>
      <x:c r="L5" s="7" t="str"/>
    </x:row>
    <x:row r="6">
      <x:c r="A6" s="7" t="str">
        <x:v>AKF</x:v>
      </x:c>
      <x:c r="B6" s="7" t="str">
        <x:v>AKF-KU</x:v>
      </x:c>
      <x:c r="C6" s="7" t="str">
        <x:v>19-Jun-2026</x:v>
      </x:c>
      <x:c r="D6" s="7" t="str">
        <x:v>DAY</x:v>
      </x:c>
      <x:c r="E6" s="7" t="str">
        <x:v>GOIL_COUPON</x:v>
      </x:c>
      <x:c r="F6" s="7" t="n">
        <x:v>250</x:v>
      </x:c>
      <x:c r="G6" s="7" t="str">
        <x:v>Corporate coupons</x:v>
      </x:c>
      <x:c r="H6" s="7" t="str">
        <x:v>Esi Arthur</x:v>
      </x:c>
      <x:c r="I6" s="7" t="str">
        <x:v>CP-KU-001</x:v>
      </x:c>
      <x:c r="J6" s="7" t="str">
        <x:v>KUC-01</x:v>
      </x:c>
      <x:c r="K6" s="7" t="str">
        <x:v>SUBMITTED_TO_HQ</x:v>
      </x:c>
      <x:c r="L6" s="7" t="str"/>
    </x:row>
    <x:row r="7">
      <x:c r="A7" s="7" t="str">
        <x:v>AKF</x:v>
      </x:c>
      <x:c r="B7" s="7" t="str">
        <x:v>AKF-KU</x:v>
      </x:c>
      <x:c r="C7" s="7" t="str">
        <x:v>19-Jun-2026</x:v>
      </x:c>
      <x:c r="D7" s="7" t="str">
        <x:v>DAY</x:v>
      </x:c>
      <x:c r="E7" s="7" t="str">
        <x:v>GHQR</x:v>
      </x:c>
      <x:c r="F7" s="7" t="n">
        <x:v>1625.9</x:v>
      </x:c>
      <x:c r="G7" s="7" t="str">
        <x:v>Mobile payments</x:v>
      </x:c>
      <x:c r="H7" s="7" t="str">
        <x:v>Esi Arthur</x:v>
      </x:c>
      <x:c r="I7" s="7" t="str">
        <x:v>GHQR-KU-001</x:v>
      </x:c>
      <x:c r="J7" s="7" t="str"/>
      <x:c r="K7" s="7" t="str">
        <x:v>SUBMITTED_TO_HQ</x:v>
      </x:c>
      <x:c r="L7" s="7" t="str"/>
    </x:row>
    <x:row r="8">
      <x:c r="A8" s="7" t="str">
        <x:v>NBF</x:v>
      </x:c>
      <x:c r="B8" s="7" t="str">
        <x:v>NBF-TA</x:v>
      </x:c>
      <x:c r="C8" s="7" t="str">
        <x:v>19-Jun-2026</x:v>
      </x:c>
      <x:c r="D8" s="7" t="str">
        <x:v>DAY</x:v>
      </x:c>
      <x:c r="E8" s="7" t="str">
        <x:v>GO_CARD</x:v>
      </x:c>
      <x:c r="F8" s="7" t="n">
        <x:v>300</x:v>
      </x:c>
      <x:c r="G8" s="7" t="str">
        <x:v>Walk-in customers</x:v>
      </x:c>
      <x:c r="H8" s="7" t="str">
        <x:v>Issah Mohammed</x:v>
      </x:c>
      <x:c r="I8" s="7" t="str">
        <x:v>GC-TA-001</x:v>
      </x:c>
      <x:c r="J8" s="7" t="str"/>
      <x:c r="K8" s="7" t="str">
        <x:v>SUBMITTED_TO_HQ</x:v>
      </x:c>
      <x:c r="L8" s="7" t="str"/>
    </x:row>
    <x:row r="9">
      <x:c r="A9" s="7" t="str">
        <x:v>NBF</x:v>
      </x:c>
      <x:c r="B9" s="7" t="str">
        <x:v>NBF-TA</x:v>
      </x:c>
      <x:c r="C9" s="7" t="str">
        <x:v>19-Jun-2026</x:v>
      </x:c>
      <x:c r="D9" s="7" t="str">
        <x:v>DAY</x:v>
      </x:c>
      <x:c r="E9" s="7" t="str">
        <x:v>GOIL_COUPON</x:v>
      </x:c>
      <x:c r="F9" s="7" t="n">
        <x:v>300</x:v>
      </x:c>
      <x:c r="G9" s="7" t="str">
        <x:v>Corporate coupons</x:v>
      </x:c>
      <x:c r="H9" s="7" t="str">
        <x:v>Issah Mohammed</x:v>
      </x:c>
      <x:c r="I9" s="7" t="str">
        <x:v>CP-TA-001</x:v>
      </x:c>
      <x:c r="J9" s="7" t="str">
        <x:v>TAC-01</x:v>
      </x:c>
      <x:c r="K9" s="7" t="str">
        <x:v>SUBMITTED_TO_HQ</x:v>
      </x:c>
      <x:c r="L9" s="7" t="str"/>
    </x:row>
    <x:row r="10">
      <x:c r="A10" s="7" t="str">
        <x:v>NBF</x:v>
      </x:c>
      <x:c r="B10" s="7" t="str">
        <x:v>NBF-TA</x:v>
      </x:c>
      <x:c r="C10" s="7" t="str">
        <x:v>19-Jun-2026</x:v>
      </x:c>
      <x:c r="D10" s="7" t="str">
        <x:v>DAY</x:v>
      </x:c>
      <x:c r="E10" s="7" t="str">
        <x:v>GHQR</x:v>
      </x:c>
      <x:c r="F10" s="7" t="n">
        <x:v>560</x:v>
      </x:c>
      <x:c r="G10" s="7" t="str">
        <x:v>Mobile payments</x:v>
      </x:c>
      <x:c r="H10" s="7" t="str">
        <x:v>Issah Mohammed</x:v>
      </x:c>
      <x:c r="I10" s="7" t="str">
        <x:v>GHQR-TA-001</x:v>
      </x:c>
      <x:c r="J10" s="7" t="str"/>
      <x:c r="K10" s="7" t="str">
        <x:v>SUBMITTED_TO_HQ</x:v>
      </x:c>
      <x:c r="L10" s="7" t="str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</x:cols>
  <x:sheetData>
    <x:row r="1">
      <x:c r="A1" s="6" t="str">
        <x:v>companyCode</x:v>
      </x:c>
      <x:c r="B1" s="6" t="str">
        <x:v>stationCode</x:v>
      </x:c>
      <x:c r="C1" s="6" t="str">
        <x:v>businessDate</x:v>
      </x:c>
      <x:c r="D1" s="6" t="str">
        <x:v>shift</x:v>
      </x:c>
      <x:c r="E1" s="6" t="str">
        <x:v>debtorCode</x:v>
      </x:c>
      <x:c r="F1" s="6" t="str">
        <x:v>type</x:v>
      </x:c>
      <x:c r="G1" s="6" t="str">
        <x:v>amount</x:v>
      </x:c>
      <x:c r="H1" s="6" t="str">
        <x:v>paymentMethod</x:v>
      </x:c>
      <x:c r="I1" s="6" t="str">
        <x:v>reference</x:v>
      </x:c>
      <x:c r="J1" s="6" t="str">
        <x:v>cashReceivedDate</x:v>
      </x:c>
      <x:c r="K1" s="6" t="str">
        <x:v>remarks</x:v>
      </x:c>
    </x:row>
    <x:row r="2">
      <x:c r="A2" s="7" t="str">
        <x:v>AKF</x:v>
      </x:c>
      <x:c r="B2" s="7" t="str">
        <x:v>AKF-AC</x:v>
      </x:c>
      <x:c r="C2" s="7" t="str">
        <x:v>19-Jun-2026</x:v>
      </x:c>
      <x:c r="D2" s="7" t="str">
        <x:v>DAY</x:v>
      </x:c>
      <x:c r="E2" s="7" t="str">
        <x:v>AC-DBT-01</x:v>
      </x:c>
      <x:c r="F2" s="7" t="str">
        <x:v>SALE</x:v>
      </x:c>
      <x:c r="G2" s="7" t="n">
        <x:v>373</x:v>
      </x:c>
      <x:c r="H2" s="7" t="str"/>
      <x:c r="I2" s="7" t="str">
        <x:v>CR-AC-001</x:v>
      </x:c>
      <x:c r="J2" s="7" t="str"/>
      <x:c r="K2" s="7" t="str">
        <x:v>Fuel credit sale from Pump 2 Nozzle A</x:v>
      </x:c>
    </x:row>
    <x:row r="3">
      <x:c r="A3" s="7" t="str">
        <x:v>AKF</x:v>
      </x:c>
      <x:c r="B3" s="7" t="str">
        <x:v>AKF-AC</x:v>
      </x:c>
      <x:c r="C3" s="7" t="str">
        <x:v>19-Jun-2026</x:v>
      </x:c>
      <x:c r="D3" s="7" t="str">
        <x:v>DAY</x:v>
      </x:c>
      <x:c r="E3" s="7" t="str">
        <x:v>AC-DBT-01</x:v>
      </x:c>
      <x:c r="F3" s="7" t="str">
        <x:v>PAYMENT</x:v>
      </x:c>
      <x:c r="G3" s="7" t="n">
        <x:v>500</x:v>
      </x:c>
      <x:c r="H3" s="7" t="str">
        <x:v>CASH</x:v>
      </x:c>
      <x:c r="I3" s="7" t="str">
        <x:v>PAY-AC-001</x:v>
      </x:c>
      <x:c r="J3" s="7" t="str">
        <x:v>19-Jun-2026</x:v>
      </x:c>
      <x:c r="K3" s="7" t="str">
        <x:v>Part payment received at station</x:v>
      </x:c>
    </x:row>
    <x:row r="4">
      <x:c r="A4" s="7" t="str">
        <x:v>NBF</x:v>
      </x:c>
      <x:c r="B4" s="7" t="str">
        <x:v>NBF-TA</x:v>
      </x:c>
      <x:c r="C4" s="7" t="str">
        <x:v>19-Jun-2026</x:v>
      </x:c>
      <x:c r="D4" s="7" t="str">
        <x:v>DAY</x:v>
      </x:c>
      <x:c r="E4" s="7" t="str">
        <x:v>TA-DBT-01</x:v>
      </x:c>
      <x:c r="F4" s="7" t="str">
        <x:v>PAYMENT</x:v>
      </x:c>
      <x:c r="G4" s="7" t="n">
        <x:v>300</x:v>
      </x:c>
      <x:c r="H4" s="7" t="str">
        <x:v>MOMO</x:v>
      </x:c>
      <x:c r="I4" s="7" t="str">
        <x:v>PAY-TA-001</x:v>
      </x:c>
      <x:c r="J4" s="7" t="str">
        <x:v>19-Jun-2026</x:v>
      </x:c>
      <x:c r="K4" s="7" t="str">
        <x:v>MoMo payment received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  <x:col min="17" max="17" width="18.75" hidden="0" customWidth="1"/>
    <x:col min="18" max="18" width="18.75" hidden="0" customWidth="1"/>
    <x:col min="19" max="19" width="18.75" hidden="0" customWidth="1"/>
    <x:col min="20" max="20" width="18.75" hidden="0" customWidth="1"/>
    <x:col min="21" max="21" width="18.75" hidden="0" customWidth="1"/>
  </x:cols>
  <x:sheetData>
    <x:row r="1">
      <x:c r="A1" s="13" t="str">
        <x:v>companyCode</x:v>
      </x:c>
      <x:c r="B1" s="13" t="str">
        <x:v>stationCode</x:v>
      </x:c>
      <x:c r="C1" s="13" t="str">
        <x:v>businessDate</x:v>
      </x:c>
      <x:c r="D1" s="13" t="str">
        <x:v>shift</x:v>
      </x:c>
      <x:c r="E1" s="13" t="str">
        <x:v>tankCode</x:v>
      </x:c>
      <x:c r="F1" s="13" t="str">
        <x:v>productCode</x:v>
      </x:c>
      <x:c r="G1" s="13" t="str">
        <x:v>supplierName</x:v>
      </x:c>
      <x:c r="H1" s="13" t="str">
        <x:v>invoiceNumber</x:v>
      </x:c>
      <x:c r="I1" s="13" t="str">
        <x:v>vehicleReg</x:v>
      </x:c>
      <x:c r="J1" s="13" t="str">
        <x:v>driverName</x:v>
      </x:c>
      <x:c r="K1" s="13" t="str">
        <x:v>beforeTankLitres</x:v>
      </x:c>
      <x:c r="L1" s="13" t="str">
        <x:v>invoiceMeasurement</x:v>
      </x:c>
      <x:c r="M1" s="13" t="str">
        <x:v>productDischargedLitres</x:v>
      </x:c>
      <x:c r="N1" s="13" t="str">
        <x:v>adjustmentTopUpLitres</x:v>
      </x:c>
      <x:c r="O1" s="13" t="str">
        <x:v>expectedTankAfterDischargeFormula</x:v>
      </x:c>
      <x:c r="P1" s="13" t="str">
        <x:v>afterTankLitres</x:v>
      </x:c>
      <x:c r="Q1" s="13" t="str">
        <x:v>dischargeVarianceFormula</x:v>
      </x:c>
      <x:c r="R1" s="13" t="str">
        <x:v>supervisorName</x:v>
      </x:c>
      <x:c r="S1" s="13" t="str">
        <x:v>couplingHeightCm</x:v>
      </x:c>
      <x:c r="T1" s="13" t="str">
        <x:v>calibrationCertificate</x:v>
      </x:c>
      <x:c r="U1" s="13" t="str">
        <x:v>tbar</x:v>
      </x:c>
    </x:row>
    <x:row r="2">
      <x:c r="A2" s="14" t="str">
        <x:v>AKF</x:v>
      </x:c>
      <x:c r="B2" s="14" t="str">
        <x:v>AKF-AC</x:v>
      </x:c>
      <x:c r="C2" s="14" t="str">
        <x:v>19-Jun-2026</x:v>
      </x:c>
      <x:c r="D2" s="14" t="str">
        <x:v>DAY</x:v>
      </x:c>
      <x:c r="E2" s="14" t="str">
        <x:v>AC-T95</x:v>
      </x:c>
      <x:c r="F2" s="14" t="str">
        <x:v>S95</x:v>
      </x:c>
      <x:c r="G2" s="14" t="str">
        <x:v>GOIL Depot Tema</x:v>
      </x:c>
      <x:c r="H2" s="14" t="str">
        <x:v>INV-AC-9501</x:v>
      </x:c>
      <x:c r="I2" s="14" t="str">
        <x:v>GT 2245-23</x:v>
      </x:c>
      <x:c r="J2" s="14" t="str">
        <x:v>Yaw Frimpong</x:v>
      </x:c>
      <x:c r="K2" s="14" t="n">
        <x:v>18200</x:v>
      </x:c>
      <x:c r="L2" s="14" t="n">
        <x:v>5000</x:v>
      </x:c>
      <x:c r="M2" s="14" t="n">
        <x:v>5000</x:v>
      </x:c>
      <x:c r="N2" s="14" t="n">
        <x:v>0</x:v>
      </x:c>
      <x:c r="O2" s="14" t="n">
        <x:f>K2+M2+N2</x:f>
        <x:v>23200</x:v>
      </x:c>
      <x:c r="P2" s="14" t="n">
        <x:v>23200</x:v>
      </x:c>
      <x:c r="Q2" s="14" t="n">
        <x:f>P2-O2</x:f>
        <x:v>0</x:v>
      </x:c>
      <x:c r="R2" s="14" t="str">
        <x:v>Kojo Armah</x:v>
      </x:c>
      <x:c r="S2" s="14" t="n">
        <x:v>12.5</x:v>
      </x:c>
      <x:c r="T2" s="14" t="str">
        <x:v>CAL-2026-AC-01</x:v>
      </x:c>
      <x:c r="U2" s="14" t="n">
        <x:v>4.2</x:v>
      </x:c>
    </x:row>
    <x:row r="3">
      <x:c r="A3" s="14" t="str">
        <x:v>NBF</x:v>
      </x:c>
      <x:c r="B3" s="14" t="str">
        <x:v>NBF-TA</x:v>
      </x:c>
      <x:c r="C3" s="14" t="str">
        <x:v>19-Jun-2026</x:v>
      </x:c>
      <x:c r="D3" s="14" t="str">
        <x:v>DAY</x:v>
      </x:c>
      <x:c r="E3" s="14" t="str">
        <x:v>TA-TD1</x:v>
      </x:c>
      <x:c r="F3" s="14" t="str">
        <x:v>AGO</x:v>
      </x:c>
      <x:c r="G3" s="14" t="str">
        <x:v>GOIL Depot Tamale</x:v>
      </x:c>
      <x:c r="H3" s="14" t="str">
        <x:v>INV-TA-D001</x:v>
      </x:c>
      <x:c r="I3" s="14" t="str">
        <x:v>NR 8890-22</x:v>
      </x:c>
      <x:c r="J3" s="14" t="str">
        <x:v>Ibrahim Fuseini</x:v>
      </x:c>
      <x:c r="K3" s="14" t="n">
        <x:v>14500</x:v>
      </x:c>
      <x:c r="L3" s="14" t="n">
        <x:v>8000</x:v>
      </x:c>
      <x:c r="M3" s="14" t="n">
        <x:v>7900</x:v>
      </x:c>
      <x:c r="N3" s="14" t="n">
        <x:v>100</x:v>
      </x:c>
      <x:c r="O3" s="14" t="n">
        <x:f>K3+M3+N3</x:f>
        <x:v>22500</x:v>
      </x:c>
      <x:c r="P3" s="14" t="n">
        <x:v>22500</x:v>
      </x:c>
      <x:c r="Q3" s="14" t="n">
        <x:f>P3-O3</x:f>
        <x:v>0</x:v>
      </x:c>
      <x:c r="R3" s="14" t="str">
        <x:v>Issah Mohammed</x:v>
      </x:c>
      <x:c r="S3" s="14" t="n">
        <x:v>11.8</x:v>
      </x:c>
      <x:c r="T3" s="14" t="str">
        <x:v>CAL-2026-TA-03</x:v>
      </x:c>
      <x:c r="U3" s="14" t="n">
        <x:v>4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</x:cols>
  <x:sheetData>
    <x:row r="1">
      <x:c r="A1" s="13" t="str">
        <x:v>companyCode</x:v>
      </x:c>
      <x:c r="B1" s="13" t="str">
        <x:v>stationCode</x:v>
      </x:c>
      <x:c r="C1" s="13" t="str">
        <x:v>businessDate</x:v>
      </x:c>
      <x:c r="D1" s="13" t="str">
        <x:v>shift</x:v>
      </x:c>
      <x:c r="E1" s="13" t="str">
        <x:v>tankCode</x:v>
      </x:c>
      <x:c r="F1" s="13" t="str">
        <x:v>productCode</x:v>
      </x:c>
      <x:c r="G1" s="13" t="str">
        <x:v>openingStockLitres</x:v>
      </x:c>
      <x:c r="H1" s="13" t="str">
        <x:v>receiptsLitres</x:v>
      </x:c>
      <x:c r="I1" s="13" t="str">
        <x:v>closingDipCm</x:v>
      </x:c>
      <x:c r="J1" s="13" t="str">
        <x:v>closingStockLitres</x:v>
      </x:c>
      <x:c r="K1" s="13" t="str">
        <x:v>meterSoldLitres</x:v>
      </x:c>
      <x:c r="L1" s="13" t="str">
        <x:v>expectedClosingFormula</x:v>
      </x:c>
      <x:c r="M1" s="13" t="str">
        <x:v>varianceLitresFormula</x:v>
      </x:c>
      <x:c r="N1" s="13" t="str">
        <x:v>waterTestStatus</x:v>
      </x:c>
      <x:c r="O1" s="13" t="str">
        <x:v>supervisorEmail</x:v>
      </x:c>
    </x:row>
    <x:row r="2">
      <x:c r="A2" s="14" t="str">
        <x:v>AKF</x:v>
      </x:c>
      <x:c r="B2" s="14" t="str">
        <x:v>AKF-AC</x:v>
      </x:c>
      <x:c r="C2" s="14" t="str">
        <x:v>19-Jun-2026</x:v>
      </x:c>
      <x:c r="D2" s="14" t="str">
        <x:v>DAY</x:v>
      </x:c>
      <x:c r="E2" s="14" t="str">
        <x:v>AC-T95</x:v>
      </x:c>
      <x:c r="F2" s="14" t="str">
        <x:v>S95</x:v>
      </x:c>
      <x:c r="G2" s="14" t="n">
        <x:v>18200</x:v>
      </x:c>
      <x:c r="H2" s="14" t="n">
        <x:v>5000</x:v>
      </x:c>
      <x:c r="I2" s="14" t="n">
        <x:v>286.3</x:v>
      </x:c>
      <x:c r="J2" s="14" t="n">
        <x:v>22900</x:v>
      </x:c>
      <x:c r="K2" s="14" t="n">
        <x:v>300</x:v>
      </x:c>
      <x:c r="L2" s="14" t="n">
        <x:f>G2+H2-K2</x:f>
        <x:v>22900</x:v>
      </x:c>
      <x:c r="M2" s="14" t="n">
        <x:f>J2-L2</x:f>
        <x:v>0</x:v>
      </x:c>
      <x:c r="N2" s="14" t="str">
        <x:v>CLEAR</x:v>
      </x:c>
      <x:c r="O2" s="14" t="str">
        <x:v>kojo.armah@akwaabaenergy.com</x:v>
      </x:c>
    </x:row>
    <x:row r="3">
      <x:c r="A3" s="14" t="str">
        <x:v>AKF</x:v>
      </x:c>
      <x:c r="B3" s="14" t="str">
        <x:v>AKF-AC</x:v>
      </x:c>
      <x:c r="C3" s="14" t="str">
        <x:v>19-Jun-2026</x:v>
      </x:c>
      <x:c r="D3" s="14" t="str">
        <x:v>DAY</x:v>
      </x:c>
      <x:c r="E3" s="14" t="str">
        <x:v>AC-T91</x:v>
      </x:c>
      <x:c r="F3" s="14" t="str">
        <x:v>S91</x:v>
      </x:c>
      <x:c r="G3" s="14" t="n">
        <x:v>14800</x:v>
      </x:c>
      <x:c r="H3" s="14" t="n">
        <x:v>0</x:v>
      </x:c>
      <x:c r="I3" s="14" t="n">
        <x:v>180.5</x:v>
      </x:c>
      <x:c r="J3" s="14" t="n">
        <x:v>14620</x:v>
      </x:c>
      <x:c r="K3" s="14" t="n">
        <x:v>180</x:v>
      </x:c>
      <x:c r="L3" s="14" t="n">
        <x:f>G3+H3-K3</x:f>
        <x:v>14620</x:v>
      </x:c>
      <x:c r="M3" s="14" t="n">
        <x:f>J3-L3</x:f>
        <x:v>0</x:v>
      </x:c>
      <x:c r="N3" s="14" t="str">
        <x:v>CLEAR</x:v>
      </x:c>
      <x:c r="O3" s="14" t="str">
        <x:v>kojo.armah@akwaabaenergy.com</x:v>
      </x:c>
    </x:row>
    <x:row r="4">
      <x:c r="A4" s="14" t="str">
        <x:v>AKF</x:v>
      </x:c>
      <x:c r="B4" s="14" t="str">
        <x:v>AKF-AC</x:v>
      </x:c>
      <x:c r="C4" s="14" t="str">
        <x:v>19-Jun-2026</x:v>
      </x:c>
      <x:c r="D4" s="14" t="str">
        <x:v>DAY</x:v>
      </x:c>
      <x:c r="E4" s="14" t="str">
        <x:v>AC-TD1</x:v>
      </x:c>
      <x:c r="F4" s="14" t="str">
        <x:v>AGO</x:v>
      </x:c>
      <x:c r="G4" s="14" t="n">
        <x:v>20100</x:v>
      </x:c>
      <x:c r="H4" s="14" t="n">
        <x:v>0</x:v>
      </x:c>
      <x:c r="I4" s="14" t="n">
        <x:v>246.2</x:v>
      </x:c>
      <x:c r="J4" s="14" t="n">
        <x:v>19630</x:v>
      </x:c>
      <x:c r="K4" s="14" t="n">
        <x:v>470</x:v>
      </x:c>
      <x:c r="L4" s="14" t="n">
        <x:f>G4+H4-K4</x:f>
        <x:v>19630</x:v>
      </x:c>
      <x:c r="M4" s="14" t="n">
        <x:f>J4-L4</x:f>
        <x:v>0</x:v>
      </x:c>
      <x:c r="N4" s="14" t="str">
        <x:v>CLEAR</x:v>
      </x:c>
      <x:c r="O4" s="14" t="str">
        <x:v>kojo.armah@akwaabaenergy.com</x:v>
      </x:c>
    </x:row>
    <x:row r="5">
      <x:c r="A5" s="14" t="str">
        <x:v>AKF</x:v>
      </x:c>
      <x:c r="B5" s="14" t="str">
        <x:v>AKF-KU</x:v>
      </x:c>
      <x:c r="C5" s="14" t="str">
        <x:v>19-Jun-2026</x:v>
      </x:c>
      <x:c r="D5" s="14" t="str">
        <x:v>DAY</x:v>
      </x:c>
      <x:c r="E5" s="14" t="str">
        <x:v>KU-T95</x:v>
      </x:c>
      <x:c r="F5" s="14" t="str">
        <x:v>S95</x:v>
      </x:c>
      <x:c r="G5" s="14" t="n">
        <x:v>12950</x:v>
      </x:c>
      <x:c r="H5" s="14" t="n">
        <x:v>0</x:v>
      </x:c>
      <x:c r="I5" s="14" t="n">
        <x:v>164.1</x:v>
      </x:c>
      <x:c r="J5" s="14" t="n">
        <x:v>12740</x:v>
      </x:c>
      <x:c r="K5" s="14" t="n">
        <x:v>210</x:v>
      </x:c>
      <x:c r="L5" s="14" t="n">
        <x:f>G5+H5-K5</x:f>
        <x:v>12740</x:v>
      </x:c>
      <x:c r="M5" s="14" t="n">
        <x:f>J5-L5</x:f>
        <x:v>0</x:v>
      </x:c>
      <x:c r="N5" s="14" t="str">
        <x:v>CLEAR</x:v>
      </x:c>
      <x:c r="O5" s="14" t="str">
        <x:v>esi.arthur@akwaabaenergy.com</x:v>
      </x:c>
    </x:row>
    <x:row r="6">
      <x:c r="A6" s="14" t="str">
        <x:v>AKF</x:v>
      </x:c>
      <x:c r="B6" s="14" t="str">
        <x:v>AKF-KU</x:v>
      </x:c>
      <x:c r="C6" s="14" t="str">
        <x:v>19-Jun-2026</x:v>
      </x:c>
      <x:c r="D6" s="14" t="str">
        <x:v>DAY</x:v>
      </x:c>
      <x:c r="E6" s="14" t="str">
        <x:v>KU-TD1</x:v>
      </x:c>
      <x:c r="F6" s="14" t="str">
        <x:v>AGO</x:v>
      </x:c>
      <x:c r="G6" s="14" t="n">
        <x:v>17600</x:v>
      </x:c>
      <x:c r="H6" s="14" t="n">
        <x:v>0</x:v>
      </x:c>
      <x:c r="I6" s="14" t="n">
        <x:v>220.9</x:v>
      </x:c>
      <x:c r="J6" s="14" t="n">
        <x:v>17250</x:v>
      </x:c>
      <x:c r="K6" s="14" t="n">
        <x:v>350</x:v>
      </x:c>
      <x:c r="L6" s="14" t="n">
        <x:f>G6+H6-K6</x:f>
        <x:v>17250</x:v>
      </x:c>
      <x:c r="M6" s="14" t="n">
        <x:f>J6-L6</x:f>
        <x:v>0</x:v>
      </x:c>
      <x:c r="N6" s="14" t="str">
        <x:v>CLEAR</x:v>
      </x:c>
      <x:c r="O6" s="14" t="str">
        <x:v>esi.arthur@akwaabaenergy.com</x:v>
      </x:c>
    </x:row>
    <x:row r="7">
      <x:c r="A7" s="14" t="str">
        <x:v>NBF</x:v>
      </x:c>
      <x:c r="B7" s="14" t="str">
        <x:v>NBF-TA</x:v>
      </x:c>
      <x:c r="C7" s="14" t="str">
        <x:v>19-Jun-2026</x:v>
      </x:c>
      <x:c r="D7" s="14" t="str">
        <x:v>DAY</x:v>
      </x:c>
      <x:c r="E7" s="14" t="str">
        <x:v>TA-T91</x:v>
      </x:c>
      <x:c r="F7" s="14" t="str">
        <x:v>S91</x:v>
      </x:c>
      <x:c r="G7" s="14" t="n">
        <x:v>11900</x:v>
      </x:c>
      <x:c r="H7" s="14" t="n">
        <x:v>0</x:v>
      </x:c>
      <x:c r="I7" s="14" t="n">
        <x:v>154.2</x:v>
      </x:c>
      <x:c r="J7" s="14" t="n">
        <x:v>11750</x:v>
      </x:c>
      <x:c r="K7" s="14" t="n">
        <x:v>150</x:v>
      </x:c>
      <x:c r="L7" s="14" t="n">
        <x:f>G7+H7-K7</x:f>
        <x:v>11750</x:v>
      </x:c>
      <x:c r="M7" s="14" t="n">
        <x:f>J7-L7</x:f>
        <x:v>0</x:v>
      </x:c>
      <x:c r="N7" s="14" t="str">
        <x:v>CLEAR</x:v>
      </x:c>
      <x:c r="O7" s="14" t="str">
        <x:v>issah.mohammed@northbridgefuels.com</x:v>
      </x:c>
    </x:row>
    <x:row r="8">
      <x:c r="A8" s="14" t="str">
        <x:v>NBF</x:v>
      </x:c>
      <x:c r="B8" s="14" t="str">
        <x:v>NBF-TA</x:v>
      </x:c>
      <x:c r="C8" s="14" t="str">
        <x:v>19-Jun-2026</x:v>
      </x:c>
      <x:c r="D8" s="14" t="str">
        <x:v>DAY</x:v>
      </x:c>
      <x:c r="E8" s="14" t="str">
        <x:v>TA-TD1</x:v>
      </x:c>
      <x:c r="F8" s="14" t="str">
        <x:v>AGO</x:v>
      </x:c>
      <x:c r="G8" s="14" t="n">
        <x:v>14500</x:v>
      </x:c>
      <x:c r="H8" s="14" t="n">
        <x:v>8000</x:v>
      </x:c>
      <x:c r="I8" s="14" t="n">
        <x:v>290.4</x:v>
      </x:c>
      <x:c r="J8" s="14" t="n">
        <x:v>22290</x:v>
      </x:c>
      <x:c r="K8" s="14" t="n">
        <x:v>210</x:v>
      </x:c>
      <x:c r="L8" s="14" t="n">
        <x:f>G8+H8-K8</x:f>
        <x:v>22290</x:v>
      </x:c>
      <x:c r="M8" s="14" t="n">
        <x:f>J8-L8</x:f>
        <x:v>0</x:v>
      </x:c>
      <x:c r="N8" s="14" t="str">
        <x:v>CLEAR</x:v>
      </x:c>
      <x:c r="O8" s="14" t="str">
        <x:v>issah.mohammed@northbridgefuels.com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</x:cols>
  <x:sheetData>
    <x:row r="1">
      <x:c r="A1" s="6" t="str">
        <x:v>companyCode</x:v>
      </x:c>
      <x:c r="B1" s="6" t="str">
        <x:v>stationCode</x:v>
      </x:c>
      <x:c r="C1" s="6" t="str">
        <x:v>businessDate</x:v>
      </x:c>
      <x:c r="D1" s="6" t="str">
        <x:v>shift</x:v>
      </x:c>
      <x:c r="E1" s="6" t="str">
        <x:v>category</x:v>
      </x:c>
      <x:c r="F1" s="6" t="str">
        <x:v>amount</x:v>
      </x:c>
      <x:c r="G1" s="6" t="str">
        <x:v>paidBy</x:v>
      </x:c>
      <x:c r="H1" s="6" t="str">
        <x:v>voucherReference</x:v>
      </x:c>
      <x:c r="I1" s="6" t="str">
        <x:v>receiptAttached</x:v>
      </x:c>
      <x:c r="J1" s="6" t="str">
        <x:v>description</x:v>
      </x:c>
    </x:row>
    <x:row r="2">
      <x:c r="A2" s="7" t="str">
        <x:v>AKF</x:v>
      </x:c>
      <x:c r="B2" s="7" t="str">
        <x:v>AKF-AC</x:v>
      </x:c>
      <x:c r="C2" s="7" t="str">
        <x:v>19-Jun-2026</x:v>
      </x:c>
      <x:c r="D2" s="7" t="str">
        <x:v>DAY</x:v>
      </x:c>
      <x:c r="E2" s="7" t="str">
        <x:v>Generator Fuel</x:v>
      </x:c>
      <x:c r="F2" s="7" t="n">
        <x:v>350</x:v>
      </x:c>
      <x:c r="G2" s="7" t="str">
        <x:v>Kojo Armah</x:v>
      </x:c>
      <x:c r="H2" s="7" t="str">
        <x:v>EXP-AC-001</x:v>
      </x:c>
      <x:c r="I2" s="12" t="b">
        <x:v>1</x:v>
      </x:c>
      <x:c r="J2" s="7" t="str">
        <x:v>Generator support fuel</x:v>
      </x:c>
    </x:row>
    <x:row r="3">
      <x:c r="A3" s="7" t="str">
        <x:v>AKF</x:v>
      </x:c>
      <x:c r="B3" s="7" t="str">
        <x:v>AKF-AC</x:v>
      </x:c>
      <x:c r="C3" s="7" t="str">
        <x:v>19-Jun-2026</x:v>
      </x:c>
      <x:c r="D3" s="7" t="str">
        <x:v>DAY</x:v>
      </x:c>
      <x:c r="E3" s="7" t="str">
        <x:v>Cleaning</x:v>
      </x:c>
      <x:c r="F3" s="7" t="n">
        <x:v>120</x:v>
      </x:c>
      <x:c r="G3" s="7" t="str">
        <x:v>Kojo Armah</x:v>
      </x:c>
      <x:c r="H3" s="7" t="str">
        <x:v>EXP-AC-002</x:v>
      </x:c>
      <x:c r="I3" s="12" t="b">
        <x:v>0</x:v>
      </x:c>
      <x:c r="J3" s="7" t="str">
        <x:v>Cleaning supplies</x:v>
      </x:c>
    </x:row>
    <x:row r="4">
      <x:c r="A4" s="7" t="str">
        <x:v>AKF</x:v>
      </x:c>
      <x:c r="B4" s="7" t="str">
        <x:v>AKF-KU</x:v>
      </x:c>
      <x:c r="C4" s="7" t="str">
        <x:v>19-Jun-2026</x:v>
      </x:c>
      <x:c r="D4" s="7" t="str">
        <x:v>DAY</x:v>
      </x:c>
      <x:c r="E4" s="7" t="str">
        <x:v>Transport</x:v>
      </x:c>
      <x:c r="F4" s="7" t="n">
        <x:v>180</x:v>
      </x:c>
      <x:c r="G4" s="7" t="str">
        <x:v>Esi Arthur</x:v>
      </x:c>
      <x:c r="H4" s="7" t="str">
        <x:v>EXP-KU-001</x:v>
      </x:c>
      <x:c r="I4" s="12" t="b">
        <x:v>1</x:v>
      </x:c>
      <x:c r="J4" s="7" t="str">
        <x:v>Station errands</x:v>
      </x:c>
    </x:row>
    <x:row r="5">
      <x:c r="A5" s="7" t="str">
        <x:v>NBF</x:v>
      </x:c>
      <x:c r="B5" s="7" t="str">
        <x:v>NBF-TA</x:v>
      </x:c>
      <x:c r="C5" s="7" t="str">
        <x:v>19-Jun-2026</x:v>
      </x:c>
      <x:c r="D5" s="7" t="str">
        <x:v>DAY</x:v>
      </x:c>
      <x:c r="E5" s="7" t="str">
        <x:v>Security</x:v>
      </x:c>
      <x:c r="F5" s="7" t="n">
        <x:v>200</x:v>
      </x:c>
      <x:c r="G5" s="7" t="str">
        <x:v>Issah Mohammed</x:v>
      </x:c>
      <x:c r="H5" s="7" t="str">
        <x:v>EXP-TA-001</x:v>
      </x:c>
      <x:c r="I5" s="12" t="b">
        <x:v>1</x:v>
      </x:c>
      <x:c r="J5" s="7" t="str">
        <x:v>Night security payment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</x:cols>
  <x:sheetData>
    <x:row r="1">
      <x:c r="A1" s="13" t="str">
        <x:v>companyCode</x:v>
      </x:c>
      <x:c r="B1" s="13" t="str">
        <x:v>stationCode</x:v>
      </x:c>
      <x:c r="C1" s="13" t="str">
        <x:v>businessDate</x:v>
      </x:c>
      <x:c r="D1" s="13" t="str">
        <x:v>shift</x:v>
      </x:c>
      <x:c r="E1" s="13" t="str">
        <x:v>openingCash</x:v>
      </x:c>
      <x:c r="F1" s="13" t="str">
        <x:v>cardSales</x:v>
      </x:c>
      <x:c r="G1" s="13" t="str">
        <x:v>cashSales</x:v>
      </x:c>
      <x:c r="H1" s="13" t="str">
        <x:v>mobileMoney</x:v>
      </x:c>
      <x:c r="I1" s="13" t="str">
        <x:v>returns</x:v>
      </x:c>
      <x:c r="J1" s="13" t="str">
        <x:v>netMartSalesFormula</x:v>
      </x:c>
      <x:c r="K1" s="13" t="str">
        <x:v>physicalCashCount</x:v>
      </x:c>
      <x:c r="L1" s="13" t="str">
        <x:v>cashVarianceFormula</x:v>
      </x:c>
      <x:c r="M1" s="13" t="str">
        <x:v>remarks</x:v>
      </x:c>
    </x:row>
    <x:row r="2">
      <x:c r="A2" s="14" t="str">
        <x:v>AKF</x:v>
      </x:c>
      <x:c r="B2" s="14" t="str">
        <x:v>AKF-AC</x:v>
      </x:c>
      <x:c r="C2" s="14" t="str">
        <x:v>19-Jun-2026</x:v>
      </x:c>
      <x:c r="D2" s="14" t="str">
        <x:v>DAY</x:v>
      </x:c>
      <x:c r="E2" s="14" t="n">
        <x:v>100</x:v>
      </x:c>
      <x:c r="F2" s="14" t="n">
        <x:v>800</x:v>
      </x:c>
      <x:c r="G2" s="14" t="n">
        <x:v>500</x:v>
      </x:c>
      <x:c r="H2" s="14" t="n">
        <x:v>250</x:v>
      </x:c>
      <x:c r="I2" s="14" t="n">
        <x:v>40</x:v>
      </x:c>
      <x:c r="J2" s="14" t="n">
        <x:f>F2+G2+H2-I2</x:f>
        <x:v>1510</x:v>
      </x:c>
      <x:c r="K2" s="14" t="n">
        <x:v>600</x:v>
      </x:c>
      <x:c r="L2" s="14" t="n">
        <x:f>K2-(E2+G2)</x:f>
        <x:v>0</x:v>
      </x:c>
      <x:c r="M2" s="14" t="str">
        <x:v>Balanced</x:v>
      </x:c>
    </x:row>
    <x:row r="3">
      <x:c r="A3" s="14" t="str">
        <x:v>AKF</x:v>
      </x:c>
      <x:c r="B3" s="14" t="str">
        <x:v>AKF-KU</x:v>
      </x:c>
      <x:c r="C3" s="14" t="str">
        <x:v>19-Jun-2026</x:v>
      </x:c>
      <x:c r="D3" s="14" t="str">
        <x:v>DAY</x:v>
      </x:c>
      <x:c r="E3" s="14" t="n">
        <x:v>100</x:v>
      </x:c>
      <x:c r="F3" s="14" t="n">
        <x:v>450</x:v>
      </x:c>
      <x:c r="G3" s="14" t="n">
        <x:v>360</x:v>
      </x:c>
      <x:c r="H3" s="14" t="n">
        <x:v>140</x:v>
      </x:c>
      <x:c r="I3" s="14" t="n">
        <x:v>0</x:v>
      </x:c>
      <x:c r="J3" s="14" t="n">
        <x:f>F3+G3+H3-I3</x:f>
        <x:v>950</x:v>
      </x:c>
      <x:c r="K3" s="14" t="n">
        <x:v>460</x:v>
      </x:c>
      <x:c r="L3" s="14" t="n">
        <x:f>K3-(E3+G3)</x:f>
        <x:v>0</x:v>
      </x:c>
      <x:c r="M3" s="14" t="str">
        <x:v>Balanced</x:v>
      </x:c>
    </x:row>
    <x:row r="4">
      <x:c r="A4" s="14" t="str">
        <x:v>NBF</x:v>
      </x:c>
      <x:c r="B4" s="14" t="str">
        <x:v>NBF-TA</x:v>
      </x:c>
      <x:c r="C4" s="14" t="str">
        <x:v>19-Jun-2026</x:v>
      </x:c>
      <x:c r="D4" s="14" t="str">
        <x:v>DAY</x:v>
      </x:c>
      <x:c r="E4" s="14" t="n">
        <x:v>80</x:v>
      </x:c>
      <x:c r="F4" s="14" t="n">
        <x:v>280</x:v>
      </x:c>
      <x:c r="G4" s="14" t="n">
        <x:v>320</x:v>
      </x:c>
      <x:c r="H4" s="14" t="n">
        <x:v>100</x:v>
      </x:c>
      <x:c r="I4" s="14" t="n">
        <x:v>20</x:v>
      </x:c>
      <x:c r="J4" s="14" t="n">
        <x:f>F4+G4+H4-I4</x:f>
        <x:v>680</x:v>
      </x:c>
      <x:c r="K4" s="14" t="n">
        <x:v>400</x:v>
      </x:c>
      <x:c r="L4" s="14" t="n">
        <x:f>K4-(E4+G4)</x:f>
        <x:v>0</x:v>
      </x:c>
      <x:c r="M4" s="14" t="str">
        <x:v>Balanced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</x:cols>
  <x:sheetData>
    <x:row r="1">
      <x:c r="A1" s="6" t="str">
        <x:v>companyCode</x:v>
      </x:c>
      <x:c r="B1" s="6" t="str">
        <x:v>stationCode</x:v>
      </x:c>
      <x:c r="C1" s="6" t="str">
        <x:v>serviceType</x:v>
      </x:c>
      <x:c r="D1" s="6" t="str">
        <x:v>vehicleCategory</x:v>
      </x:c>
      <x:c r="E1" s="6" t="str">
        <x:v>defaultLabourCharge</x:v>
      </x:c>
      <x:c r="F1" s="6" t="str">
        <x:v>isActive</x:v>
      </x:c>
    </x:row>
    <x:row r="2">
      <x:c r="A2" s="7" t="str">
        <x:v>AKF</x:v>
      </x:c>
      <x:c r="B2" s="7" t="str">
        <x:v>AKF-AC</x:v>
      </x:c>
      <x:c r="C2" s="7" t="str">
        <x:v>Oil Change</x:v>
      </x:c>
      <x:c r="D2" s="7" t="str">
        <x:v>Salon and Sedans</x:v>
      </x:c>
      <x:c r="E2" s="7" t="n">
        <x:v>60</x:v>
      </x:c>
      <x:c r="F2" s="12" t="b">
        <x:v>1</x:v>
      </x:c>
    </x:row>
    <x:row r="3">
      <x:c r="A3" s="7" t="str">
        <x:v>AKF</x:v>
      </x:c>
      <x:c r="B3" s="7" t="str">
        <x:v>AKF-AC</x:v>
      </x:c>
      <x:c r="C3" s="7" t="str">
        <x:v>Wheel Rotation</x:v>
      </x:c>
      <x:c r="D3" s="7" t="str">
        <x:v>SUV and Crossovers</x:v>
      </x:c>
      <x:c r="E3" s="7" t="n">
        <x:v>80</x:v>
      </x:c>
      <x:c r="F3" s="12" t="b">
        <x:v>1</x:v>
      </x:c>
    </x:row>
    <x:row r="4">
      <x:c r="A4" s="7" t="str">
        <x:v>AKF</x:v>
      </x:c>
      <x:c r="B4" s="7" t="str">
        <x:v>AKF-KU</x:v>
      </x:c>
      <x:c r="C4" s="7" t="str">
        <x:v>Oil Change</x:v>
      </x:c>
      <x:c r="D4" s="7" t="str">
        <x:v>Light Commercial Vehicles</x:v>
      </x:c>
      <x:c r="E4" s="7" t="n">
        <x:v>75</x:v>
      </x:c>
      <x:c r="F4" s="12" t="b">
        <x:v>1</x:v>
      </x:c>
    </x:row>
    <x:row r="5">
      <x:c r="A5" s="7" t="str">
        <x:v>NBF</x:v>
      </x:c>
      <x:c r="B5" s="7" t="str">
        <x:v>NBF-TA</x:v>
      </x:c>
      <x:c r="C5" s="7" t="str">
        <x:v>Oil Change</x:v>
      </x:c>
      <x:c r="D5" s="7" t="str">
        <x:v>Heavy Duty &amp; Commercial Trucks</x:v>
      </x:c>
      <x:c r="E5" s="7" t="n">
        <x:v>120</x:v>
      </x:c>
      <x:c r="F5" s="12" t="b">
        <x:v>1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  <x:col min="17" max="17" width="18.75" hidden="0" customWidth="1"/>
    <x:col min="18" max="18" width="18.75" hidden="0" customWidth="1"/>
    <x:col min="19" max="19" width="18.75" hidden="0" customWidth="1"/>
    <x:col min="20" max="20" width="18.75" hidden="0" customWidth="1"/>
    <x:col min="21" max="21" width="18.75" hidden="0" customWidth="1"/>
    <x:col min="22" max="22" width="18.75" hidden="0" customWidth="1"/>
    <x:col min="23" max="23" width="18.75" hidden="0" customWidth="1"/>
  </x:cols>
  <x:sheetData>
    <x:row r="1">
      <x:c r="A1" s="13" t="str">
        <x:v>companyCode</x:v>
      </x:c>
      <x:c r="B1" s="13" t="str">
        <x:v>stationCode</x:v>
      </x:c>
      <x:c r="C1" s="13" t="str">
        <x:v>businessDate</x:v>
      </x:c>
      <x:c r="D1" s="13" t="str">
        <x:v>shift</x:v>
      </x:c>
      <x:c r="E1" s="13" t="str">
        <x:v>vehicleReg</x:v>
      </x:c>
      <x:c r="F1" s="13" t="str">
        <x:v>customerName</x:v>
      </x:c>
      <x:c r="G1" s="13" t="str">
        <x:v>serviceType</x:v>
      </x:c>
      <x:c r="H1" s="13" t="str">
        <x:v>vehicleCategory</x:v>
      </x:c>
      <x:c r="I1" s="13" t="str">
        <x:v>productCode</x:v>
      </x:c>
      <x:c r="J1" s="13" t="str">
        <x:v>quantity</x:v>
      </x:c>
      <x:c r="K1" s="13" t="str">
        <x:v>unitPrice</x:v>
      </x:c>
      <x:c r="L1" s="13" t="str">
        <x:v>productAmountFormula</x:v>
      </x:c>
      <x:c r="M1" s="13" t="str">
        <x:v>labourCharge</x:v>
      </x:c>
      <x:c r="N1" s="13" t="str">
        <x:v>discount</x:v>
      </x:c>
      <x:c r="O1" s="13" t="str">
        <x:v>totalExpectedFormula</x:v>
      </x:c>
      <x:c r="P1" s="13" t="str">
        <x:v>paymentMode</x:v>
      </x:c>
      <x:c r="Q1" s="13" t="str">
        <x:v>cashAmount</x:v>
      </x:c>
      <x:c r="R1" s="13" t="str">
        <x:v>cardAmount</x:v>
      </x:c>
      <x:c r="S1" s="13" t="str">
        <x:v>momoAmount</x:v>
      </x:c>
      <x:c r="T1" s="13" t="str">
        <x:v>creditAmount</x:v>
      </x:c>
      <x:c r="U1" s="13" t="str">
        <x:v>varianceFormula</x:v>
      </x:c>
      <x:c r="V1" s="13" t="str">
        <x:v>technicianName</x:v>
      </x:c>
      <x:c r="W1" s="13" t="str">
        <x:v>supervisorName</x:v>
      </x:c>
    </x:row>
    <x:row r="2">
      <x:c r="A2" s="14" t="str">
        <x:v>AKF</x:v>
      </x:c>
      <x:c r="B2" s="14" t="str">
        <x:v>AKF-AC</x:v>
      </x:c>
      <x:c r="C2" s="14" t="str">
        <x:v>19-Jun-2026</x:v>
      </x:c>
      <x:c r="D2" s="14" t="str">
        <x:v>DAY</x:v>
      </x:c>
      <x:c r="E2" s="14" t="str">
        <x:v>GR 4412-22</x:v>
      </x:c>
      <x:c r="F2" s="14" t="str">
        <x:v>Yaw Appiah</x:v>
      </x:c>
      <x:c r="G2" s="14" t="str">
        <x:v>Oil Change</x:v>
      </x:c>
      <x:c r="H2" s="14" t="str">
        <x:v>Salon and Sedans</x:v>
      </x:c>
      <x:c r="I2" s="14" t="str">
        <x:v>EO5W30</x:v>
      </x:c>
      <x:c r="J2" s="14" t="n">
        <x:v>4</x:v>
      </x:c>
      <x:c r="K2" s="14" t="n">
        <x:v>95</x:v>
      </x:c>
      <x:c r="L2" s="14" t="n">
        <x:f>J2*K2</x:f>
        <x:v>380</x:v>
      </x:c>
      <x:c r="M2" s="14" t="n">
        <x:v>60</x:v>
      </x:c>
      <x:c r="N2" s="14" t="n">
        <x:v>20</x:v>
      </x:c>
      <x:c r="O2" s="14" t="n">
        <x:f>L2+M2-N2</x:f>
        <x:v>420</x:v>
      </x:c>
      <x:c r="P2" s="14" t="str">
        <x:v>CASH</x:v>
      </x:c>
      <x:c r="Q2" s="14" t="n">
        <x:v>420</x:v>
      </x:c>
      <x:c r="R2" s="14" t="n">
        <x:v>0</x:v>
      </x:c>
      <x:c r="S2" s="14" t="n">
        <x:v>0</x:v>
      </x:c>
      <x:c r="T2" s="14" t="n">
        <x:v>0</x:v>
      </x:c>
      <x:c r="U2" s="14" t="n">
        <x:f>SUM(Q2:T2)-O2</x:f>
        <x:v>0</x:v>
      </x:c>
      <x:c r="V2" s="14" t="str">
        <x:v>Michael Tetteh</x:v>
      </x:c>
      <x:c r="W2" s="14" t="str">
        <x:v>Kojo Armah</x:v>
      </x:c>
    </x:row>
    <x:row r="3">
      <x:c r="A3" s="14" t="str">
        <x:v>AKF</x:v>
      </x:c>
      <x:c r="B3" s="14" t="str">
        <x:v>AKF-AC</x:v>
      </x:c>
      <x:c r="C3" s="14" t="str">
        <x:v>19-Jun-2026</x:v>
      </x:c>
      <x:c r="D3" s="14" t="str">
        <x:v>DAY</x:v>
      </x:c>
      <x:c r="E3" s="14" t="str">
        <x:v>GW 9090-20</x:v>
      </x:c>
      <x:c r="F3" s="14" t="str">
        <x:v>Akosua Manu</x:v>
      </x:c>
      <x:c r="G3" s="14" t="str">
        <x:v>Wheel Rotation</x:v>
      </x:c>
      <x:c r="H3" s="14" t="str">
        <x:v>SUV and Crossovers</x:v>
      </x:c>
      <x:c r="I3" s="14" t="str"/>
      <x:c r="J3" s="14" t="n">
        <x:v>0</x:v>
      </x:c>
      <x:c r="K3" s="14" t="n">
        <x:v>0</x:v>
      </x:c>
      <x:c r="L3" s="14" t="n">
        <x:f>J3*K3</x:f>
        <x:v>0</x:v>
      </x:c>
      <x:c r="M3" s="14" t="n">
        <x:v>80</x:v>
      </x:c>
      <x:c r="N3" s="14" t="n">
        <x:v>0</x:v>
      </x:c>
      <x:c r="O3" s="14" t="n">
        <x:f>L3+M3-N3</x:f>
        <x:v>80</x:v>
      </x:c>
      <x:c r="P3" s="14" t="str">
        <x:v>MOMO</x:v>
      </x:c>
      <x:c r="Q3" s="14" t="n">
        <x:v>0</x:v>
      </x:c>
      <x:c r="R3" s="14" t="n">
        <x:v>0</x:v>
      </x:c>
      <x:c r="S3" s="14" t="n">
        <x:v>80</x:v>
      </x:c>
      <x:c r="T3" s="14" t="n">
        <x:v>0</x:v>
      </x:c>
      <x:c r="U3" s="14" t="n">
        <x:f>SUM(Q3:T3)-O3</x:f>
        <x:v>0</x:v>
      </x:c>
      <x:c r="V3" s="14" t="str">
        <x:v>Michael Tetteh</x:v>
      </x:c>
      <x:c r="W3" s="14" t="str">
        <x:v>Kojo Armah</x:v>
      </x:c>
    </x:row>
    <x:row r="4">
      <x:c r="A4" s="14" t="str">
        <x:v>NBF</x:v>
      </x:c>
      <x:c r="B4" s="14" t="str">
        <x:v>NBF-TA</x:v>
      </x:c>
      <x:c r="C4" s="14" t="str">
        <x:v>19-Jun-2026</x:v>
      </x:c>
      <x:c r="D4" s="14" t="str">
        <x:v>DAY</x:v>
      </x:c>
      <x:c r="E4" s="14" t="str">
        <x:v>NR 7788-21</x:v>
      </x:c>
      <x:c r="F4" s="14" t="str">
        <x:v>Hassan Iddrisu</x:v>
      </x:c>
      <x:c r="G4" s="14" t="str">
        <x:v>Oil Change</x:v>
      </x:c>
      <x:c r="H4" s="14" t="str">
        <x:v>Heavy Duty &amp; Commercial Trucks</x:v>
      </x:c>
      <x:c r="I4" s="14" t="str">
        <x:v>EO15W40</x:v>
      </x:c>
      <x:c r="J4" s="14" t="n">
        <x:v>6</x:v>
      </x:c>
      <x:c r="K4" s="14" t="n">
        <x:v>105</x:v>
      </x:c>
      <x:c r="L4" s="14" t="n">
        <x:f>J4*K4</x:f>
        <x:v>630</x:v>
      </x:c>
      <x:c r="M4" s="14" t="n">
        <x:v>120</x:v>
      </x:c>
      <x:c r="N4" s="14" t="n">
        <x:v>0</x:v>
      </x:c>
      <x:c r="O4" s="14" t="n">
        <x:f>L4+M4-N4</x:f>
        <x:v>750</x:v>
      </x:c>
      <x:c r="P4" s="14" t="str">
        <x:v>CARD</x:v>
      </x:c>
      <x:c r="Q4" s="14" t="n">
        <x:v>0</x:v>
      </x:c>
      <x:c r="R4" s="14" t="n">
        <x:v>750</x:v>
      </x:c>
      <x:c r="S4" s="14" t="n">
        <x:v>0</x:v>
      </x:c>
      <x:c r="T4" s="14" t="n">
        <x:v>0</x:v>
      </x:c>
      <x:c r="U4" s="14" t="n">
        <x:f>SUM(Q4:T4)-O4</x:f>
        <x:v>0</x:v>
      </x:c>
      <x:c r="V4" s="14" t="str">
        <x:v>Mubarak Adams</x:v>
      </x:c>
      <x:c r="W4" s="14" t="str">
        <x:v>Issah Mohammed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</x:cols>
  <x:sheetData>
    <x:row r="1">
      <x:c r="A1" s="13" t="str">
        <x:v>companyCode</x:v>
      </x:c>
      <x:c r="B1" s="13" t="str">
        <x:v>stationCode</x:v>
      </x:c>
      <x:c r="C1" s="13" t="str">
        <x:v>businessDate</x:v>
      </x:c>
      <x:c r="D1" s="13" t="str">
        <x:v>shift</x:v>
      </x:c>
      <x:c r="E1" s="13" t="str">
        <x:v>pumpCash</x:v>
      </x:c>
      <x:c r="F1" s="13" t="str">
        <x:v>debtorCashPayments</x:v>
      </x:c>
      <x:c r="G1" s="13" t="str">
        <x:v>actualExpenditure</x:v>
      </x:c>
      <x:c r="H1" s="13" t="str">
        <x:v>expectedCashToBankFormula</x:v>
      </x:c>
      <x:c r="I1" s="13" t="str">
        <x:v>alreadyBankedBeforeThisEntry</x:v>
      </x:c>
      <x:c r="J1" s="13" t="str">
        <x:v>amountToBank</x:v>
      </x:c>
      <x:c r="K1" s="13" t="str">
        <x:v>varianceFormula</x:v>
      </x:c>
      <x:c r="L1" s="13" t="str">
        <x:v>bankCollectionDate</x:v>
      </x:c>
      <x:c r="M1" s="13" t="str">
        <x:v>collectionReference</x:v>
      </x:c>
      <x:c r="N1" s="13" t="str">
        <x:v>bankSignatureName</x:v>
      </x:c>
      <x:c r="O1" s="13" t="str">
        <x:v>supervisorSignatureName</x:v>
      </x:c>
    </x:row>
    <x:row r="2">
      <x:c r="A2" s="14" t="str">
        <x:v>AKF</x:v>
      </x:c>
      <x:c r="B2" s="14" t="str">
        <x:v>AKF-AC</x:v>
      </x:c>
      <x:c r="C2" s="14" t="str">
        <x:v>19-Jun-2026</x:v>
      </x:c>
      <x:c r="D2" s="14" t="str">
        <x:v>DAY</x:v>
      </x:c>
      <x:c r="E2" s="14" t="n">
        <x:v>9700</x:v>
      </x:c>
      <x:c r="F2" s="14" t="n">
        <x:v>500</x:v>
      </x:c>
      <x:c r="G2" s="14" t="n">
        <x:v>470</x:v>
      </x:c>
      <x:c r="H2" s="14" t="n">
        <x:f>E2+F2-G2</x:f>
        <x:v>9730</x:v>
      </x:c>
      <x:c r="I2" s="14" t="n">
        <x:v>0</x:v>
      </x:c>
      <x:c r="J2" s="14" t="n">
        <x:v>9730</x:v>
      </x:c>
      <x:c r="K2" s="14" t="n">
        <x:f>J2-H2+I2</x:f>
        <x:v>0</x:v>
      </x:c>
      <x:c r="L2" s="14" t="str">
        <x:v>19-Jun-2026</x:v>
      </x:c>
      <x:c r="M2" s="14" t="str">
        <x:v>BANK-AC-001</x:v>
      </x:c>
      <x:c r="N2" s="14" t="str">
        <x:v>Abena Banku</x:v>
      </x:c>
      <x:c r="O2" s="14" t="str">
        <x:v>Kojo Armah</x:v>
      </x:c>
    </x:row>
    <x:row r="3">
      <x:c r="A3" s="14" t="str">
        <x:v>AKF</x:v>
      </x:c>
      <x:c r="B3" s="14" t="str">
        <x:v>AKF-KU</x:v>
      </x:c>
      <x:c r="C3" s="14" t="str">
        <x:v>19-Jun-2026</x:v>
      </x:c>
      <x:c r="D3" s="14" t="str">
        <x:v>DAY</x:v>
      </x:c>
      <x:c r="E3" s="14" t="n">
        <x:v>6400</x:v>
      </x:c>
      <x:c r="F3" s="14" t="n">
        <x:v>0</x:v>
      </x:c>
      <x:c r="G3" s="14" t="n">
        <x:v>180</x:v>
      </x:c>
      <x:c r="H3" s="14" t="n">
        <x:f>E3+F3-G3</x:f>
        <x:v>6220</x:v>
      </x:c>
      <x:c r="I3" s="14" t="n">
        <x:v>0</x:v>
      </x:c>
      <x:c r="J3" s="14" t="n">
        <x:v>6220</x:v>
      </x:c>
      <x:c r="K3" s="14" t="n">
        <x:f>J3-H3+I3</x:f>
        <x:v>0</x:v>
      </x:c>
      <x:c r="L3" s="14" t="str">
        <x:v>19-Jun-2026</x:v>
      </x:c>
      <x:c r="M3" s="14" t="str">
        <x:v>BANK-KU-001</x:v>
      </x:c>
      <x:c r="N3" s="14" t="str">
        <x:v>Kwame Adu</x:v>
      </x:c>
      <x:c r="O3" s="14" t="str">
        <x:v>Esi Arthur</x:v>
      </x:c>
    </x:row>
    <x:row r="4">
      <x:c r="A4" s="14" t="str">
        <x:v>NBF</x:v>
      </x:c>
      <x:c r="B4" s="14" t="str">
        <x:v>NBF-TA</x:v>
      </x:c>
      <x:c r="C4" s="14" t="str">
        <x:v>19-Jun-2026</x:v>
      </x:c>
      <x:c r="D4" s="14" t="str">
        <x:v>DAY</x:v>
      </x:c>
      <x:c r="E4" s="14" t="n">
        <x:v>4100</x:v>
      </x:c>
      <x:c r="F4" s="14" t="n">
        <x:v>0</x:v>
      </x:c>
      <x:c r="G4" s="14" t="n">
        <x:v>200</x:v>
      </x:c>
      <x:c r="H4" s="14" t="n">
        <x:f>E4+F4-G4</x:f>
        <x:v>3900</x:v>
      </x:c>
      <x:c r="I4" s="14" t="n">
        <x:v>0</x:v>
      </x:c>
      <x:c r="J4" s="14" t="n">
        <x:v>3900</x:v>
      </x:c>
      <x:c r="K4" s="14" t="n">
        <x:f>J4-H4+I4</x:f>
        <x:v>0</x:v>
      </x:c>
      <x:c r="L4" s="14" t="str">
        <x:v>19-Jun-2026</x:v>
      </x:c>
      <x:c r="M4" s="14" t="str">
        <x:v>BANK-TA-001</x:v>
      </x:c>
      <x:c r="N4" s="14" t="str">
        <x:v>Mariam Adam</x:v>
      </x:c>
      <x:c r="O4" s="14" t="str">
        <x:v>Issah Mohammed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</x:cols>
  <x:sheetData>
    <x:row r="1">
      <x:c r="A1" s="13" t="str">
        <x:v>companyCode</x:v>
      </x:c>
      <x:c r="B1" s="13" t="str">
        <x:v>stationCode</x:v>
      </x:c>
      <x:c r="C1" s="13" t="str">
        <x:v>businessDate</x:v>
      </x:c>
      <x:c r="D1" s="13" t="str">
        <x:v>pumpExpected</x:v>
      </x:c>
      <x:c r="E1" s="13" t="str">
        <x:v>pumpCash</x:v>
      </x:c>
      <x:c r="F1" s="13" t="str">
        <x:v>hqDirect</x:v>
      </x:c>
      <x:c r="G1" s="13" t="str">
        <x:v>creditSales</x:v>
      </x:c>
      <x:c r="H1" s="13" t="str">
        <x:v>debtorCashPayments</x:v>
      </x:c>
      <x:c r="I1" s="13" t="str">
        <x:v>actualExpenditure</x:v>
      </x:c>
      <x:c r="J1" s="13" t="str">
        <x:v>expectedCashToBank</x:v>
      </x:c>
      <x:c r="K1" s="13" t="str">
        <x:v>cashBanked</x:v>
      </x:c>
      <x:c r="L1" s="13" t="str">
        <x:v>bankingVariance</x:v>
      </x:c>
      <x:c r="M1" s="13" t="str">
        <x:v>martNetSales</x:v>
      </x:c>
      <x:c r="N1" s="13" t="str">
        <x:v>martCashVariance</x:v>
      </x:c>
      <x:c r="O1" s="13" t="str">
        <x:v>tankVarianceLitres</x:v>
      </x:c>
      <x:c r="P1" s="13" t="str">
        <x:v>dischargeVarianceLitres</x:v>
      </x:c>
    </x:row>
    <x:row r="2">
      <x:c r="A2" s="14" t="str">
        <x:v>AKF</x:v>
      </x:c>
      <x:c r="B2" s="14" t="str">
        <x:v>AKF-AC</x:v>
      </x:c>
      <x:c r="C2" s="14" t="str">
        <x:v>19-Jun-2026</x:v>
      </x:c>
      <x:c r="D2" s="14" t="n">
        <x:f>SUMIFS('Pump Sales'!K:K,'Pump Sales'!A:A,A2,'Pump Sales'!B:B,B2)</x:f>
        <x:v>14762.5</x:v>
      </x:c>
      <x:c r="E2" s="14" t="n">
        <x:f>SUMIFS('Pump Sales'!L:L,'Pump Sales'!A:A,A2,'Pump Sales'!B:B,B2)</x:f>
        <x:v>9700</x:v>
      </x:c>
      <x:c r="F2" s="14" t="n">
        <x:f>SUMIFS('Pump Sales'!M:M,'Pump Sales'!A:A,A2,'Pump Sales'!B:B,B2)+SUMIFS('Pump Sales'!N:N,'Pump Sales'!A:A,A2,'Pump Sales'!B:B,B2)+SUMIFS('Pump Sales'!O:O,'Pump Sales'!A:A,A2,'Pump Sales'!B:B,B2)</x:f>
        <x:v>4689.5</x:v>
      </x:c>
      <x:c r="G2" s="14" t="n">
        <x:f>SUMIFS('Pump Sales'!P:P,'Pump Sales'!A:A,A2,'Pump Sales'!B:B,B2)</x:f>
        <x:v>373</x:v>
      </x:c>
      <x:c r="H2" s="14" t="n">
        <x:f>SUMIFS('Debtor Ledger'!G:G,'Debtor Ledger'!A:A,A2,'Debtor Ledger'!B:B,B2,'Debtor Ledger'!F:F,"PAYMENT",'Debtor Ledger'!H:H,"CASH")</x:f>
        <x:v>500</x:v>
      </x:c>
      <x:c r="I2" s="14" t="n">
        <x:f>SUMIFS(Expenditure!F:F,Expenditure!A:A,A2,Expenditure!B:B,B2)</x:f>
        <x:v>470</x:v>
      </x:c>
      <x:c r="J2" s="14" t="n">
        <x:f>E2+H2-I2</x:f>
        <x:v>9730</x:v>
      </x:c>
      <x:c r="K2" s="14" t="n">
        <x:f>SUMIFS('Cash Collection'!J:J,'Cash Collection'!A:A,A2,'Cash Collection'!B:B,B2)</x:f>
        <x:v>9730</x:v>
      </x:c>
      <x:c r="L2" s="14" t="n">
        <x:f>K2-J2</x:f>
        <x:v>0</x:v>
      </x:c>
      <x:c r="M2" s="14" t="n">
        <x:f>SUMIFS('Mart Sales'!J:J,'Mart Sales'!A:A,A2,'Mart Sales'!B:B,B2)</x:f>
        <x:v>1510</x:v>
      </x:c>
      <x:c r="N2" s="14" t="n">
        <x:f>SUMIFS('Mart Sales'!L:L,'Mart Sales'!A:A,A2,'Mart Sales'!B:B,B2)</x:f>
        <x:v>0</x:v>
      </x:c>
      <x:c r="O2" s="14" t="n">
        <x:f>SUMIFS('Tank Dipping'!M:M,'Tank Dipping'!A:A,A2,'Tank Dipping'!B:B,B2)</x:f>
        <x:v>0</x:v>
      </x:c>
      <x:c r="P2" s="14" t="n">
        <x:f>SUMIFS('Product Discharge'!Q:Q,'Product Discharge'!A:A,A2,'Product Discharge'!B:B,B2)</x:f>
        <x:v>0</x:v>
      </x:c>
    </x:row>
    <x:row r="3">
      <x:c r="A3" s="14" t="str">
        <x:v>AKF</x:v>
      </x:c>
      <x:c r="B3" s="14" t="str">
        <x:v>AKF-KU</x:v>
      </x:c>
      <x:c r="C3" s="14" t="str">
        <x:v>19-Jun-2026</x:v>
      </x:c>
      <x:c r="D3" s="14" t="n">
        <x:f>SUMIFS('Pump Sales'!K:K,'Pump Sales'!A:A,A3,'Pump Sales'!B:B,B3)</x:f>
        <x:v>8775.9</x:v>
      </x:c>
      <x:c r="E3" s="14" t="n">
        <x:f>SUMIFS('Pump Sales'!L:L,'Pump Sales'!A:A,A3,'Pump Sales'!B:B,B3)</x:f>
        <x:v>6400</x:v>
      </x:c>
      <x:c r="F3" s="14" t="n">
        <x:f>SUMIFS('Pump Sales'!M:M,'Pump Sales'!A:A,A3,'Pump Sales'!B:B,B3)+SUMIFS('Pump Sales'!N:N,'Pump Sales'!A:A,A3,'Pump Sales'!B:B,B3)+SUMIFS('Pump Sales'!O:O,'Pump Sales'!A:A,A3,'Pump Sales'!B:B,B3)</x:f>
        <x:v>2375.9</x:v>
      </x:c>
      <x:c r="G3" s="14" t="n">
        <x:f>SUMIFS('Pump Sales'!P:P,'Pump Sales'!A:A,A3,'Pump Sales'!B:B,B3)</x:f>
        <x:v>0</x:v>
      </x:c>
      <x:c r="H3" s="14" t="n">
        <x:f>SUMIFS('Debtor Ledger'!G:G,'Debtor Ledger'!A:A,A3,'Debtor Ledger'!B:B,B3,'Debtor Ledger'!F:F,"PAYMENT",'Debtor Ledger'!H:H,"CASH")</x:f>
        <x:v>0</x:v>
      </x:c>
      <x:c r="I3" s="14" t="n">
        <x:f>SUMIFS(Expenditure!F:F,Expenditure!A:A,A3,Expenditure!B:B,B3)</x:f>
        <x:v>180</x:v>
      </x:c>
      <x:c r="J3" s="14" t="n">
        <x:f>E3+H3-I3</x:f>
        <x:v>6220</x:v>
      </x:c>
      <x:c r="K3" s="14" t="n">
        <x:f>SUMIFS('Cash Collection'!J:J,'Cash Collection'!A:A,A3,'Cash Collection'!B:B,B3)</x:f>
        <x:v>6220</x:v>
      </x:c>
      <x:c r="L3" s="14" t="n">
        <x:f>K3-J3</x:f>
        <x:v>0</x:v>
      </x:c>
      <x:c r="M3" s="14" t="n">
        <x:f>SUMIFS('Mart Sales'!J:J,'Mart Sales'!A:A,A3,'Mart Sales'!B:B,B3)</x:f>
        <x:v>950</x:v>
      </x:c>
      <x:c r="N3" s="14" t="n">
        <x:f>SUMIFS('Mart Sales'!L:L,'Mart Sales'!A:A,A3,'Mart Sales'!B:B,B3)</x:f>
        <x:v>0</x:v>
      </x:c>
      <x:c r="O3" s="14" t="n">
        <x:f>SUMIFS('Tank Dipping'!M:M,'Tank Dipping'!A:A,A3,'Tank Dipping'!B:B,B3)</x:f>
        <x:v>0</x:v>
      </x:c>
      <x:c r="P3" s="14" t="n">
        <x:f>SUMIFS('Product Discharge'!Q:Q,'Product Discharge'!A:A,A3,'Product Discharge'!B:B,B3)</x:f>
        <x:v>0</x:v>
      </x:c>
    </x:row>
    <x:row r="4">
      <x:c r="A4" s="14" t="str">
        <x:v>NBF</x:v>
      </x:c>
      <x:c r="B4" s="14" t="str">
        <x:v>NBF-TA</x:v>
      </x:c>
      <x:c r="C4" s="14" t="str">
        <x:v>19-Jun-2026</x:v>
      </x:c>
      <x:c r="D4" s="14" t="n">
        <x:f>SUMIFS('Pump Sales'!K:K,'Pump Sales'!A:A,A4,'Pump Sales'!B:B,B4)</x:f>
        <x:v>5595</x:v>
      </x:c>
      <x:c r="E4" s="14" t="n">
        <x:f>SUMIFS('Pump Sales'!L:L,'Pump Sales'!A:A,A4,'Pump Sales'!B:B,B4)</x:f>
        <x:v>4100</x:v>
      </x:c>
      <x:c r="F4" s="14" t="n">
        <x:f>SUMIFS('Pump Sales'!M:M,'Pump Sales'!A:A,A4,'Pump Sales'!B:B,B4)+SUMIFS('Pump Sales'!N:N,'Pump Sales'!A:A,A4,'Pump Sales'!B:B,B4)+SUMIFS('Pump Sales'!O:O,'Pump Sales'!A:A,A4,'Pump Sales'!B:B,B4)</x:f>
        <x:v>1495</x:v>
      </x:c>
      <x:c r="G4" s="14" t="n">
        <x:f>SUMIFS('Pump Sales'!P:P,'Pump Sales'!A:A,A4,'Pump Sales'!B:B,B4)</x:f>
        <x:v>0</x:v>
      </x:c>
      <x:c r="H4" s="14" t="n">
        <x:f>SUMIFS('Debtor Ledger'!G:G,'Debtor Ledger'!A:A,A4,'Debtor Ledger'!B:B,B4,'Debtor Ledger'!F:F,"PAYMENT",'Debtor Ledger'!H:H,"CASH")</x:f>
        <x:v>0</x:v>
      </x:c>
      <x:c r="I4" s="14" t="n">
        <x:f>SUMIFS(Expenditure!F:F,Expenditure!A:A,A4,Expenditure!B:B,B4)</x:f>
        <x:v>200</x:v>
      </x:c>
      <x:c r="J4" s="14" t="n">
        <x:f>E4+H4-I4</x:f>
        <x:v>3900</x:v>
      </x:c>
      <x:c r="K4" s="14" t="n">
        <x:f>SUMIFS('Cash Collection'!J:J,'Cash Collection'!A:A,A4,'Cash Collection'!B:B,B4)</x:f>
        <x:v>3900</x:v>
      </x:c>
      <x:c r="L4" s="14" t="n">
        <x:f>K4-J4</x:f>
        <x:v>0</x:v>
      </x:c>
      <x:c r="M4" s="14" t="n">
        <x:f>SUMIFS('Mart Sales'!J:J,'Mart Sales'!A:A,A4,'Mart Sales'!B:B,B4)</x:f>
        <x:v>680</x:v>
      </x:c>
      <x:c r="N4" s="14" t="n">
        <x:f>SUMIFS('Mart Sales'!L:L,'Mart Sales'!A:A,A4,'Mart Sales'!B:B,B4)</x:f>
        <x:v>0</x:v>
      </x:c>
      <x:c r="O4" s="14" t="n">
        <x:f>SUMIFS('Tank Dipping'!M:M,'Tank Dipping'!A:A,A4,'Tank Dipping'!B:B,B4)</x:f>
        <x:v>0</x:v>
      </x:c>
      <x:c r="P4" s="14" t="n">
        <x:f>SUMIFS('Product Discharge'!Q:Q,'Product Discharge'!A:A,A4,'Product Discharge'!B:B,B4)</x:f>
        <x:v>0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12.5" hidden="0" customWidth="1"/>
  </x:cols>
  <x:sheetData>
    <x:row r="1">
      <x:c r="A1" s="6" t="str">
        <x:v>Area</x:v>
      </x:c>
      <x:c r="B1" s="6" t="str">
        <x:v>Rule</x:v>
      </x:c>
    </x:row>
    <x:row r="2">
      <x:c r="A2" s="7" t="str">
        <x:v>Tenant isolation</x:v>
      </x:c>
      <x:c r="B2" s="7" t="str">
        <x:v>Every row must include companyCode, and station-scoped rows must include stationCode.</x:v>
      </x:c>
    </x:row>
    <x:row r="3">
      <x:c r="A3" s="7" t="str">
        <x:v>Business codes</x:v>
      </x:c>
      <x:c r="B3" s="7" t="str">
        <x:v>Import should resolve companyCode, stationCode, productCode, tankCode, pumpCode, nozzleCode, debtorCode, and user email to database IDs.</x:v>
      </x:c>
    </x:row>
    <x:row r="4">
      <x:c r="A4" s="7" t="str">
        <x:v>Users</x:v>
      </x:c>
      <x:c r="B4" s="7" t="str">
        <x:v>Do not import real passwords. Generate temporary passwords and force reset on first login.</x:v>
      </x:c>
    </x:row>
    <x:row r="5">
      <x:c r="A5" s="7" t="str">
        <x:v>Cash collection</x:v>
      </x:c>
      <x:c r="B5" s="7" t="str">
        <x:v>Reject new amountToBank when remaining expected cash is zero/negative or the amount exceeds remaining expected cash.</x:v>
      </x:c>
    </x:row>
    <x:row r="6">
      <x:c r="A6" s="7" t="str">
        <x:v>Expenditure</x:v>
      </x:c>
      <x:c r="B6" s="7" t="str">
        <x:v>Amount is actual expenditure only. Do not use paymentToBank for returned imprest.</x:v>
      </x:c>
    </x:row>
    <x:row r="7">
      <x:c r="A7" s="7" t="str">
        <x:v>Product discharge</x:v>
      </x:c>
      <x:c r="B7" s="7" t="str">
        <x:v>expectedTankAfterDischarge = beforeTankLitres + productDischargedLitres + adjustmentTopUpLitres.</x:v>
      </x:c>
    </x:row>
    <x:row r="8">
      <x:c r="A8" s="7" t="str">
        <x:v>Tank dipping</x:v>
      </x:c>
      <x:c r="B8" s="7" t="str">
        <x:v>varianceLitres = closingStockLitres - (openingStockLitres + receiptsLitres - meterSoldLitres).</x:v>
      </x:c>
    </x:row>
    <x:row r="9">
      <x:c r="A9" s="7" t="str">
        <x:v>Pump sales</x:v>
      </x:c>
      <x:c r="B9" s="7" t="str">
        <x:v>Expected amount = litres sold * station product price. Total collection channels should equal expected amount unless a variance is intentional.</x:v>
      </x:c>
    </x:row>
    <x:row r="10">
      <x:c r="A10" s="7" t="str">
        <x:v>Backup restore</x:v>
      </x:c>
      <x:c r="B10" s="7" t="str">
        <x:v>Restore to existing tenant must be validate-first and require explicit confirmation before data replacement.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52.5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17" t="str">
        <x:v>FuelStation OS E2E Summary</x:v>
      </x:c>
    </x:row>
    <x:row r="3">
      <x:c r="A3" s="20" t="str">
        <x:v>Metric</x:v>
      </x:c>
      <x:c r="B3" s="20" t="str">
        <x:v>Akwaaba Accra</x:v>
      </x:c>
      <x:c r="C3" s="20" t="str">
        <x:v>Akwaaba Kumasi</x:v>
      </x:c>
      <x:c r="D3" s="20" t="str">
        <x:v>Northbridge Tamale</x:v>
      </x:c>
      <x:c r="E3" s="20" t="str"/>
      <x:c r="F3" s="20" t="str">
        <x:v>Expected Outcome</x:v>
      </x:c>
      <x:c r="G3" s="20" t="str">
        <x:v>Owner Review</x:v>
      </x:c>
      <x:c r="H3" s="20" t="str">
        <x:v>Notes</x:v>
      </x:c>
    </x:row>
    <x:row r="4">
      <x:c r="A4" s="21" t="str">
        <x:v>Banking Variance</x:v>
      </x:c>
      <x:c r="B4" s="21" t="n">
        <x:v>0</x:v>
      </x:c>
      <x:c r="C4" s="21" t="n">
        <x:v>0</x:v>
      </x:c>
      <x:c r="D4" s="21" t="n">
        <x:v>0</x:v>
      </x:c>
      <x:c r="E4" s="21" t="str"/>
      <x:c r="F4" s="21" t="str">
        <x:v>All zero</x:v>
      </x:c>
      <x:c r="G4" s="21" t="str">
        <x:v>Pass when all zero</x:v>
      </x:c>
      <x:c r="H4" s="21" t="str">
        <x:v>Calculated in Expected Reconciliation</x:v>
      </x:c>
    </x:row>
    <x:row r="5">
      <x:c r="A5" s="21" t="str">
        <x:v>Tank Variance (L)</x:v>
      </x:c>
      <x:c r="B5" s="21" t="n">
        <x:v>0</x:v>
      </x:c>
      <x:c r="C5" s="21" t="n">
        <x:v>0</x:v>
      </x:c>
      <x:c r="D5" s="21" t="n">
        <x:v>0</x:v>
      </x:c>
      <x:c r="E5" s="21" t="str"/>
      <x:c r="F5" s="21" t="str">
        <x:v>All zero</x:v>
      </x:c>
      <x:c r="G5" s="21" t="str">
        <x:v>Pass when all zero</x:v>
      </x:c>
      <x:c r="H5" s="21" t="str">
        <x:v>Tank Dipping should reconcile to meter sold</x:v>
      </x:c>
    </x:row>
    <x:row r="6">
      <x:c r="A6" s="21" t="str">
        <x:v>Discharge Variance (L)</x:v>
      </x:c>
      <x:c r="B6" s="21" t="n">
        <x:v>0</x:v>
      </x:c>
      <x:c r="C6" s="21" t="str"/>
      <x:c r="D6" s="21" t="n">
        <x:v>0</x:v>
      </x:c>
      <x:c r="E6" s="21" t="str"/>
      <x:c r="F6" s="21" t="str">
        <x:v>Zero where discharge exists</x:v>
      </x:c>
      <x:c r="G6" s="21" t="str">
        <x:v>Pass when zero</x:v>
      </x:c>
      <x:c r="H6" s="21" t="str">
        <x:v>Top-up is included for Northbridge</x:v>
      </x:c>
    </x:row>
    <x:row r="8">
      <x:c r="A8" s="23" t="str">
        <x:v>Manual Test Flow</x:v>
      </x:c>
      <x:c r="B8" s="23" t="str">
        <x:v>Page</x:v>
      </x:c>
      <x:c r="C8" s="23" t="str">
        <x:v>Expected result</x:v>
      </x:c>
      <x:c r="D8" s="23" t="str"/>
      <x:c r="E8" s="23" t="str"/>
      <x:c r="F8" s="23" t="str"/>
      <x:c r="G8" s="23" t="str"/>
      <x:c r="H8" s="23" t="str"/>
    </x:row>
    <x:row r="9">
      <x:c r="A9" s="21" t="str">
        <x:v>1</x:v>
      </x:c>
      <x:c r="B9" s="21" t="str">
        <x:v>Super Admin / Platform</x:v>
      </x:c>
      <x:c r="C9" s="21" t="str">
        <x:v>Create tenants AKF and NBF or validate importer creates them.</x:v>
      </x:c>
      <x:c r="D9" s="21" t="str"/>
      <x:c r="E9" s="21" t="str"/>
      <x:c r="F9" s="21" t="str"/>
      <x:c r="G9" s="21" t="str"/>
      <x:c r="H9" s="21" t="str"/>
    </x:row>
    <x:row r="10">
      <x:c r="A10" s="21" t="str">
        <x:v>2</x:v>
      </x:c>
      <x:c r="B10" s="21" t="str">
        <x:v>Setup</x:v>
      </x:c>
      <x:c r="C10" s="21" t="str">
        <x:v>Create stations, products, prices, tanks, pumps, nozzles, debtors, users.</x:v>
      </x:c>
      <x:c r="D10" s="21" t="str"/>
      <x:c r="E10" s="21" t="str"/>
      <x:c r="F10" s="21" t="str"/>
      <x:c r="G10" s="21" t="str"/>
      <x:c r="H10" s="21" t="str"/>
    </x:row>
    <x:row r="11">
      <x:c r="A11" s="21" t="str">
        <x:v>3</x:v>
      </x:c>
      <x:c r="B11" s="21" t="str">
        <x:v>Command Center</x:v>
      </x:c>
      <x:c r="C11" s="21" t="str">
        <x:v>Open a daily session for each station.</x:v>
      </x:c>
      <x:c r="D11" s="21" t="str"/>
      <x:c r="E11" s="21" t="str"/>
      <x:c r="F11" s="21" t="str"/>
      <x:c r="G11" s="21" t="str"/>
      <x:c r="H11" s="21" t="str"/>
    </x:row>
    <x:row r="12">
      <x:c r="A12" s="21" t="str">
        <x:v>4</x:v>
      </x:c>
      <x:c r="B12" s="21" t="str">
        <x:v>Forecourt/Cash/Mart/Lube</x:v>
      </x:c>
      <x:c r="C12" s="21" t="str">
        <x:v>Enter the day using operational tabs.</x:v>
      </x:c>
      <x:c r="D12" s="21" t="str"/>
      <x:c r="E12" s="21" t="str"/>
      <x:c r="F12" s="21" t="str"/>
      <x:c r="G12" s="21" t="str"/>
      <x:c r="H12" s="21" t="str"/>
    </x:row>
    <x:row r="13">
      <x:c r="A13" s="21" t="str">
        <x:v>5</x:v>
      </x:c>
      <x:c r="B13" s="21" t="str">
        <x:v>Daily Close</x:v>
      </x:c>
      <x:c r="C13" s="21" t="str">
        <x:v>All required workflows complete; variances align with Expected Reconciliation.</x:v>
      </x:c>
      <x:c r="D13" s="21" t="str"/>
      <x:c r="E13" s="21" t="str"/>
      <x:c r="F13" s="21" t="str"/>
      <x:c r="G13" s="21" t="str"/>
      <x:c r="H13" s="21" t="str"/>
    </x:row>
    <x:row r="14">
      <x:c r="A14" s="21" t="str">
        <x:v>6</x:v>
      </x:c>
      <x:c r="B14" s="21" t="str">
        <x:v>Reports/Admin</x:v>
      </x:c>
      <x:c r="C14" s="21" t="str">
        <x:v>Confirm audit trail and tenant isolation.</x:v>
      </x:c>
      <x:c r="D14" s="21" t="str"/>
      <x:c r="E14" s="21" t="str"/>
      <x:c r="F14" s="21" t="str"/>
      <x:c r="G14" s="21" t="str"/>
      <x:c r="H14" s="21" t="str"/>
    </x:row>
  </x:sheetData>
  <x:mergeCells>
    <x:mergeCell ref="A1:H1"/>
  </x:mergeCells>
  <x:pageMargins left="0.7" right="0.7" top="0.75" bottom="0.75" header="0.3" footer="0.3"/>
</x:worksheet>
</file>