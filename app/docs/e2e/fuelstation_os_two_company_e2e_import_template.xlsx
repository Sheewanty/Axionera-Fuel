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FuelStation_OS\app\docs\e2e\"/>
    </mc:Choice>
  </mc:AlternateContent>
  <bookViews>
    <workbookView xWindow="0" yWindow="0" windowWidth="23040" windowHeight="9264" tabRatio="914" activeTab="1"/>
  </bookViews>
  <sheets>
    <sheet name="README" sheetId="1" r:id="rId1"/>
    <sheet name="Companies" sheetId="2" r:id="rId2"/>
    <sheet name="Stations" sheetId="3" r:id="rId3"/>
    <sheet name="Users" sheetId="4" r:id="rId4"/>
    <sheet name="Products" sheetId="5" r:id="rId5"/>
    <sheet name="Product Prices" sheetId="6" r:id="rId6"/>
    <sheet name="Tanks" sheetId="7" r:id="rId7"/>
    <sheet name="Pumps" sheetId="8" r:id="rId8"/>
    <sheet name="Nozzles" sheetId="9" r:id="rId9"/>
    <sheet name="Debtors" sheetId="10" r:id="rId10"/>
    <sheet name="Daily Sessions" sheetId="11" r:id="rId11"/>
    <sheet name="Pump Sales" sheetId="12" r:id="rId12"/>
    <sheet name="Payment Details" sheetId="13" r:id="rId13"/>
    <sheet name="Debtor Ledger" sheetId="14" r:id="rId14"/>
    <sheet name="Product Discharge" sheetId="15" r:id="rId15"/>
    <sheet name="Tank Dipping" sheetId="16" r:id="rId16"/>
    <sheet name="Expenditure" sheetId="17" r:id="rId17"/>
    <sheet name="Sheet1" sheetId="25" r:id="rId18"/>
    <sheet name="Mart Sales" sheetId="18" r:id="rId19"/>
    <sheet name="Lube Bay Setup" sheetId="19" r:id="rId20"/>
    <sheet name="Lube Bay Sales" sheetId="20" r:id="rId21"/>
    <sheet name="Cash Collection" sheetId="21" r:id="rId22"/>
    <sheet name="Expected Reconciliation" sheetId="22" r:id="rId23"/>
    <sheet name="Import Validation Rules" sheetId="23" r:id="rId24"/>
    <sheet name="Control Summary" sheetId="24" r:id="rId25"/>
  </sheets>
  <calcPr calcId="152511"/>
</workbook>
</file>

<file path=xl/calcChain.xml><?xml version="1.0" encoding="utf-8"?>
<calcChain xmlns="http://schemas.openxmlformats.org/spreadsheetml/2006/main">
  <c r="K4" i="22" l="1"/>
  <c r="I4" i="22"/>
  <c r="H4" i="22"/>
  <c r="G4" i="22"/>
  <c r="F4" i="22"/>
  <c r="E4" i="22"/>
  <c r="J4" i="22" s="1"/>
  <c r="P3" i="22"/>
  <c r="K3" i="22"/>
  <c r="L3" i="22" s="1"/>
  <c r="I3" i="22"/>
  <c r="H3" i="22"/>
  <c r="G3" i="22"/>
  <c r="F3" i="22"/>
  <c r="E3" i="22"/>
  <c r="J3" i="22" s="1"/>
  <c r="K2" i="22"/>
  <c r="I2" i="22"/>
  <c r="H2" i="22"/>
  <c r="G2" i="22"/>
  <c r="F2" i="22"/>
  <c r="E2" i="22"/>
  <c r="J2" i="22" s="1"/>
  <c r="H4" i="21"/>
  <c r="K4" i="21" s="1"/>
  <c r="H3" i="21"/>
  <c r="K3" i="21" s="1"/>
  <c r="H2" i="21"/>
  <c r="K2" i="21" s="1"/>
  <c r="L4" i="20"/>
  <c r="O4" i="20" s="1"/>
  <c r="U4" i="20" s="1"/>
  <c r="O3" i="20"/>
  <c r="U3" i="20" s="1"/>
  <c r="L3" i="20"/>
  <c r="L2" i="20"/>
  <c r="O2" i="20" s="1"/>
  <c r="U2" i="20" s="1"/>
  <c r="L4" i="18"/>
  <c r="N4" i="22" s="1"/>
  <c r="J4" i="18"/>
  <c r="M4" i="22" s="1"/>
  <c r="L3" i="18"/>
  <c r="N3" i="22" s="1"/>
  <c r="J3" i="18"/>
  <c r="M3" i="22" s="1"/>
  <c r="L2" i="18"/>
  <c r="N2" i="22" s="1"/>
  <c r="J2" i="18"/>
  <c r="M2" i="22" s="1"/>
  <c r="L8" i="16"/>
  <c r="M8" i="16" s="1"/>
  <c r="L7" i="16"/>
  <c r="M7" i="16" s="1"/>
  <c r="O4" i="22" s="1"/>
  <c r="L6" i="16"/>
  <c r="M6" i="16" s="1"/>
  <c r="L5" i="16"/>
  <c r="M5" i="16" s="1"/>
  <c r="O3" i="22" s="1"/>
  <c r="L4" i="16"/>
  <c r="M4" i="16" s="1"/>
  <c r="L3" i="16"/>
  <c r="M3" i="16" s="1"/>
  <c r="L2" i="16"/>
  <c r="M2" i="16" s="1"/>
  <c r="O2" i="22" s="1"/>
  <c r="O3" i="15"/>
  <c r="Q3" i="15" s="1"/>
  <c r="P4" i="22" s="1"/>
  <c r="O2" i="15"/>
  <c r="Q2" i="15" s="1"/>
  <c r="P2" i="22" s="1"/>
  <c r="I10" i="12"/>
  <c r="K10" i="12" s="1"/>
  <c r="Q10" i="12" s="1"/>
  <c r="I9" i="12"/>
  <c r="K9" i="12" s="1"/>
  <c r="K8" i="12"/>
  <c r="Q8" i="12" s="1"/>
  <c r="I8" i="12"/>
  <c r="I7" i="12"/>
  <c r="K7" i="12" s="1"/>
  <c r="Q7" i="12" s="1"/>
  <c r="I6" i="12"/>
  <c r="K6" i="12" s="1"/>
  <c r="I5" i="12"/>
  <c r="K5" i="12" s="1"/>
  <c r="Q5" i="12" s="1"/>
  <c r="K4" i="12"/>
  <c r="Q4" i="12" s="1"/>
  <c r="I4" i="12"/>
  <c r="I3" i="12"/>
  <c r="K3" i="12" s="1"/>
  <c r="Q3" i="12" s="1"/>
  <c r="I2" i="12"/>
  <c r="K2" i="12" s="1"/>
  <c r="D4" i="22" l="1"/>
  <c r="Q9" i="12"/>
  <c r="Q6" i="12"/>
  <c r="D3" i="22"/>
  <c r="D2" i="22"/>
  <c r="Q2" i="12"/>
  <c r="L2" i="22"/>
  <c r="L4" i="22"/>
</calcChain>
</file>

<file path=xl/sharedStrings.xml><?xml version="1.0" encoding="utf-8"?>
<sst xmlns="http://schemas.openxmlformats.org/spreadsheetml/2006/main" count="1099" uniqueCount="404">
  <si>
    <t>FuelStation OS Two-Company E2E Test Pack</t>
  </si>
  <si>
    <t>Purpose</t>
  </si>
  <si>
    <t>Use this workbook to create two separate tenants, configure stations, and run one complete operations day per station.</t>
  </si>
  <si>
    <t>Recommended order</t>
  </si>
  <si>
    <t>Companies -&gt; Stations -&gt; Users -&gt; Products -&gt; Product Prices -&gt; Tanks -&gt; Pumps -&gt; Nozzles -&gt; Debtors -&gt; Daily Sessions -&gt; operational tabs.</t>
  </si>
  <si>
    <t>Critical note</t>
  </si>
  <si>
    <t>Dates are written in British display format, e.g. 19-Jun-2026. Import code may normalize them to ISO dates.</t>
  </si>
  <si>
    <t>Do not import</t>
  </si>
  <si>
    <t>This workbook is a test/import template. Do not import passwords or internal database IDs.</t>
  </si>
  <si>
    <t>companyCode</t>
  </si>
  <si>
    <t>tenantName</t>
  </si>
  <si>
    <t>slug</t>
  </si>
  <si>
    <t>subscriptionPackage</t>
  </si>
  <si>
    <t>subscriptionStatus</t>
  </si>
  <si>
    <t>maxStations</t>
  </si>
  <si>
    <t>maxTanks</t>
  </si>
  <si>
    <t>maxPumps</t>
  </si>
  <si>
    <t>billingEmail</t>
  </si>
  <si>
    <t>billingAddress</t>
  </si>
  <si>
    <t>ownerName</t>
  </si>
  <si>
    <t>ownerEmail</t>
  </si>
  <si>
    <t>AKF</t>
  </si>
  <si>
    <t>Akwaaba Energy Ltd</t>
  </si>
  <si>
    <t>akwaaba-energy</t>
  </si>
  <si>
    <t>PRO</t>
  </si>
  <si>
    <t>ACTIVE</t>
  </si>
  <si>
    <t>accounts@akwaabaenergy.com</t>
  </si>
  <si>
    <t>12 Independence Avenue, Accra</t>
  </si>
  <si>
    <t>Ama Boateng</t>
  </si>
  <si>
    <t>ama.boateng@akwaabaenergy.com</t>
  </si>
  <si>
    <t>NBF</t>
  </si>
  <si>
    <t>Northbridge Fuels Ltd</t>
  </si>
  <si>
    <t>northbridge-fuels</t>
  </si>
  <si>
    <t>STARTER</t>
  </si>
  <si>
    <t>finance@northbridgefuels.com</t>
  </si>
  <si>
    <t>Plot 18 Industrial Area, Tamale</t>
  </si>
  <si>
    <t>Suleman Yakubu</t>
  </si>
  <si>
    <t>suleman.yakubu@northbridgefuels.com</t>
  </si>
  <si>
    <t>stationCode</t>
  </si>
  <si>
    <t>stationName</t>
  </si>
  <si>
    <t>location</t>
  </si>
  <si>
    <t>status</t>
  </si>
  <si>
    <t>AKF-AC</t>
  </si>
  <si>
    <t>Akwaaba Accra Central</t>
  </si>
  <si>
    <t>Accra Central</t>
  </si>
  <si>
    <t>AKF-KU</t>
  </si>
  <si>
    <t>Akwaaba Kumasi Ridge</t>
  </si>
  <si>
    <t>Kumasi Ridge</t>
  </si>
  <si>
    <t>NBF-TA</t>
  </si>
  <si>
    <t>Northbridge Tamale North</t>
  </si>
  <si>
    <t>Tamale North</t>
  </si>
  <si>
    <t>name</t>
  </si>
  <si>
    <t>email</t>
  </si>
  <si>
    <t>role</t>
  </si>
  <si>
    <t>temporaryPasswordPolicy</t>
  </si>
  <si>
    <t>OWNER</t>
  </si>
  <si>
    <t>Generate temporary password; force reset</t>
  </si>
  <si>
    <t>Kwesi Mensah</t>
  </si>
  <si>
    <t>kwesi.mensah@akwaabaenergy.com</t>
  </si>
  <si>
    <t>ADMIN</t>
  </si>
  <si>
    <t>Linda Owusu</t>
  </si>
  <si>
    <t>linda.owusu@akwaabaenergy.com</t>
  </si>
  <si>
    <t>STATION_MANAGER</t>
  </si>
  <si>
    <t>Kojo Armah</t>
  </si>
  <si>
    <t>kojo.armah@akwaabaenergy.com</t>
  </si>
  <si>
    <t>SUPERVISOR</t>
  </si>
  <si>
    <t>Adwoa Serwaa</t>
  </si>
  <si>
    <t>adwoa.serwaa@akwaabaenergy.com</t>
  </si>
  <si>
    <t>ATTENDANT</t>
  </si>
  <si>
    <t>Nana Agyekum</t>
  </si>
  <si>
    <t>nana.agyekum@akwaabaenergy.com</t>
  </si>
  <si>
    <t>Esi Arthur</t>
  </si>
  <si>
    <t>esi.arthur@akwaabaenergy.com</t>
  </si>
  <si>
    <t>Aisha Abubakar</t>
  </si>
  <si>
    <t>aisha.abubakar@northbridgefuels.com</t>
  </si>
  <si>
    <t>Issah Mohammed</t>
  </si>
  <si>
    <t>issah.mohammed@northbridgefuels.com</t>
  </si>
  <si>
    <t>productCode</t>
  </si>
  <si>
    <t>productName</t>
  </si>
  <si>
    <t>category</t>
  </si>
  <si>
    <t>isActive</t>
  </si>
  <si>
    <t>S95</t>
  </si>
  <si>
    <t>Super 95</t>
  </si>
  <si>
    <t>FUEL</t>
  </si>
  <si>
    <t>S91</t>
  </si>
  <si>
    <t>Super 91</t>
  </si>
  <si>
    <t>AGO</t>
  </si>
  <si>
    <t>Diesel</t>
  </si>
  <si>
    <t>EO5W30</t>
  </si>
  <si>
    <t>Engine Oil 5W-30</t>
  </si>
  <si>
    <t>LUBRICANT</t>
  </si>
  <si>
    <t>OILFIL</t>
  </si>
  <si>
    <t>Oil Filter</t>
  </si>
  <si>
    <t>OTHER</t>
  </si>
  <si>
    <t>BRKPAD</t>
  </si>
  <si>
    <t>Brake Pads</t>
  </si>
  <si>
    <t>EO15W40</t>
  </si>
  <si>
    <t>Engine Oil 15W-40</t>
  </si>
  <si>
    <t>AIRFIL</t>
  </si>
  <si>
    <t>Air Filter</t>
  </si>
  <si>
    <t>effectiveFrom</t>
  </si>
  <si>
    <t>price</t>
  </si>
  <si>
    <t>unit</t>
  </si>
  <si>
    <t>19-Jun-2026</t>
  </si>
  <si>
    <t>Litre</t>
  </si>
  <si>
    <t>Each</t>
  </si>
  <si>
    <t>tankCode</t>
  </si>
  <si>
    <t>tankName</t>
  </si>
  <si>
    <t>capacityLitres</t>
  </si>
  <si>
    <t>AC-T95</t>
  </si>
  <si>
    <t>Tank 1 - Super 95</t>
  </si>
  <si>
    <t>AC-T91</t>
  </si>
  <si>
    <t>Tank 2 - Super 91</t>
  </si>
  <si>
    <t>AC-TD1</t>
  </si>
  <si>
    <t>Tank 3 - Diesel</t>
  </si>
  <si>
    <t>KU-T95</t>
  </si>
  <si>
    <t>KU-TD1</t>
  </si>
  <si>
    <t>Tank 2 - Diesel</t>
  </si>
  <si>
    <t>TA-T91</t>
  </si>
  <si>
    <t>Tank 1 - Super 91</t>
  </si>
  <si>
    <t>TA-TD1</t>
  </si>
  <si>
    <t>pumpCode</t>
  </si>
  <si>
    <t>pumpName</t>
  </si>
  <si>
    <t>AC-P1</t>
  </si>
  <si>
    <t>Pump 1</t>
  </si>
  <si>
    <t>AC-P2</t>
  </si>
  <si>
    <t>Pump 2</t>
  </si>
  <si>
    <t>KU-P1</t>
  </si>
  <si>
    <t>KU-P2</t>
  </si>
  <si>
    <t>TA-P1</t>
  </si>
  <si>
    <t>nozzleCode</t>
  </si>
  <si>
    <t>nozzleName</t>
  </si>
  <si>
    <t>meterCode</t>
  </si>
  <si>
    <t>AC-P1-A</t>
  </si>
  <si>
    <t>Pump 1 - Nozzle A</t>
  </si>
  <si>
    <t>M-AC-95-A</t>
  </si>
  <si>
    <t>AC-P1-B</t>
  </si>
  <si>
    <t>Pump 1 - Nozzle B</t>
  </si>
  <si>
    <t>M-AC-D-B</t>
  </si>
  <si>
    <t>AC-P2-A</t>
  </si>
  <si>
    <t>Pump 2 - Nozzle A</t>
  </si>
  <si>
    <t>M-AC-91-A</t>
  </si>
  <si>
    <t>AC-P2-B</t>
  </si>
  <si>
    <t>Pump 2 - Nozzle B</t>
  </si>
  <si>
    <t>M-AC-D-C</t>
  </si>
  <si>
    <t>KU-P1-A</t>
  </si>
  <si>
    <t>M-KU-95-A</t>
  </si>
  <si>
    <t>KU-P1-B</t>
  </si>
  <si>
    <t>M-KU-D-B</t>
  </si>
  <si>
    <t>KU-P2-A</t>
  </si>
  <si>
    <t>M-KU-D-C</t>
  </si>
  <si>
    <t>TA-P1-A</t>
  </si>
  <si>
    <t>M-TA-91-A</t>
  </si>
  <si>
    <t>TA-P1-B</t>
  </si>
  <si>
    <t>M-TA-D-B</t>
  </si>
  <si>
    <t>debtorCode</t>
  </si>
  <si>
    <t>debtorName</t>
  </si>
  <si>
    <t>phone</t>
  </si>
  <si>
    <t>creditLimit</t>
  </si>
  <si>
    <t>openingBalance</t>
  </si>
  <si>
    <t>AC-DBT-01</t>
  </si>
  <si>
    <t>Mensah Logistics</t>
  </si>
  <si>
    <t>accounts@mensahlogistics.com</t>
  </si>
  <si>
    <t>KU-DBT-01</t>
  </si>
  <si>
    <t>Ridge Construction</t>
  </si>
  <si>
    <t>payables@ridgeconstruction.com</t>
  </si>
  <si>
    <t>TA-DBT-01</t>
  </si>
  <si>
    <t>Savannah Haulage</t>
  </si>
  <si>
    <t>0277003300</t>
  </si>
  <si>
    <t>finance@savannahhaulage.com</t>
  </si>
  <si>
    <t>businessDate</t>
  </si>
  <si>
    <t>shift</t>
  </si>
  <si>
    <t>openedByEmail</t>
  </si>
  <si>
    <t>DAY</t>
  </si>
  <si>
    <t>OPEN</t>
  </si>
  <si>
    <t>openingMeter</t>
  </si>
  <si>
    <t>closingMeter</t>
  </si>
  <si>
    <t>litresSoldFormula</t>
  </si>
  <si>
    <t>unitPrice</t>
  </si>
  <si>
    <t>expectedAmountFormula</t>
  </si>
  <si>
    <t>cashReceived</t>
  </si>
  <si>
    <t>goCardVisa</t>
  </si>
  <si>
    <t>coupon</t>
  </si>
  <si>
    <t>ghqrMomo</t>
  </si>
  <si>
    <t>creditSales</t>
  </si>
  <si>
    <t>varianceFormula</t>
  </si>
  <si>
    <t>attendantEmail</t>
  </si>
  <si>
    <t>remarks</t>
  </si>
  <si>
    <t>Balanced</t>
  </si>
  <si>
    <t>Credit sale to Mensah Logistics</t>
  </si>
  <si>
    <t>channel</t>
  </si>
  <si>
    <t>amount</t>
  </si>
  <si>
    <t>customerName</t>
  </si>
  <si>
    <t>attendantName</t>
  </si>
  <si>
    <t>referenceNumber</t>
  </si>
  <si>
    <t>serialNumber</t>
  </si>
  <si>
    <t>GO_CARD</t>
  </si>
  <si>
    <t>Walk-in customers</t>
  </si>
  <si>
    <t>GC-AC-001</t>
  </si>
  <si>
    <t>SUBMITTED_TO_HQ</t>
  </si>
  <si>
    <t>Aggregated GO Card/Visa from pump sales</t>
  </si>
  <si>
    <t>GOIL_COUPON</t>
  </si>
  <si>
    <t>Corporate coupons</t>
  </si>
  <si>
    <t>CP-AC-001</t>
  </si>
  <si>
    <t>CPS-001-005</t>
  </si>
  <si>
    <t>Aggregated coupons</t>
  </si>
  <si>
    <t>GHQR</t>
  </si>
  <si>
    <t>Mobile payments</t>
  </si>
  <si>
    <t>GHQR-AC-001</t>
  </si>
  <si>
    <t>Aggregated GHQR/MoMo</t>
  </si>
  <si>
    <t>GC-KU-001</t>
  </si>
  <si>
    <t>CP-KU-001</t>
  </si>
  <si>
    <t>KUC-01</t>
  </si>
  <si>
    <t>GHQR-KU-001</t>
  </si>
  <si>
    <t>GC-TA-001</t>
  </si>
  <si>
    <t>CP-TA-001</t>
  </si>
  <si>
    <t>TAC-01</t>
  </si>
  <si>
    <t>GHQR-TA-001</t>
  </si>
  <si>
    <t>type</t>
  </si>
  <si>
    <t>paymentMethod</t>
  </si>
  <si>
    <t>reference</t>
  </si>
  <si>
    <t>cashReceivedDate</t>
  </si>
  <si>
    <t>SALE</t>
  </si>
  <si>
    <t>CR-AC-001</t>
  </si>
  <si>
    <t>Fuel credit sale from Pump 2 Nozzle A</t>
  </si>
  <si>
    <t>PAYMENT</t>
  </si>
  <si>
    <t>CASH</t>
  </si>
  <si>
    <t>PAY-AC-001</t>
  </si>
  <si>
    <t>Part payment received at station</t>
  </si>
  <si>
    <t>MOMO</t>
  </si>
  <si>
    <t>PAY-TA-001</t>
  </si>
  <si>
    <t>MoMo payment received</t>
  </si>
  <si>
    <t>supplierName</t>
  </si>
  <si>
    <t>invoiceNumber</t>
  </si>
  <si>
    <t>vehicleReg</t>
  </si>
  <si>
    <t>driverName</t>
  </si>
  <si>
    <t>beforeTankLitres</t>
  </si>
  <si>
    <t>invoiceMeasurement</t>
  </si>
  <si>
    <t>productDischargedLitres</t>
  </si>
  <si>
    <t>adjustmentTopUpLitres</t>
  </si>
  <si>
    <t>expectedTankAfterDischargeFormula</t>
  </si>
  <si>
    <t>afterTankLitres</t>
  </si>
  <si>
    <t>dischargeVarianceFormula</t>
  </si>
  <si>
    <t>supervisorName</t>
  </si>
  <si>
    <t>couplingHeightCm</t>
  </si>
  <si>
    <t>calibrationCertificate</t>
  </si>
  <si>
    <t>tbar</t>
  </si>
  <si>
    <t>GOIL Depot Tema</t>
  </si>
  <si>
    <t>INV-AC-9501</t>
  </si>
  <si>
    <t>GT 2245-23</t>
  </si>
  <si>
    <t>Yaw Frimpong</t>
  </si>
  <si>
    <t>CAL-2026-AC-01</t>
  </si>
  <si>
    <t>GOIL Depot Tamale</t>
  </si>
  <si>
    <t>INV-TA-D001</t>
  </si>
  <si>
    <t>NR 8890-22</t>
  </si>
  <si>
    <t>Ibrahim Fuseini</t>
  </si>
  <si>
    <t>CAL-2026-TA-03</t>
  </si>
  <si>
    <t>openingStockLitres</t>
  </si>
  <si>
    <t>receiptsLitres</t>
  </si>
  <si>
    <t>closingDipCm</t>
  </si>
  <si>
    <t>closingStockLitres</t>
  </si>
  <si>
    <t>meterSoldLitres</t>
  </si>
  <si>
    <t>expectedClosingFormula</t>
  </si>
  <si>
    <t>varianceLitresFormula</t>
  </si>
  <si>
    <t>waterTestStatus</t>
  </si>
  <si>
    <t>supervisorEmail</t>
  </si>
  <si>
    <t>CLEAR</t>
  </si>
  <si>
    <t>paidBy</t>
  </si>
  <si>
    <t>voucherReference</t>
  </si>
  <si>
    <t>receiptAttached</t>
  </si>
  <si>
    <t>description</t>
  </si>
  <si>
    <t>Generator Fuel</t>
  </si>
  <si>
    <t>EXP-AC-001</t>
  </si>
  <si>
    <t>Generator support fuel</t>
  </si>
  <si>
    <t>Cleaning</t>
  </si>
  <si>
    <t>EXP-AC-002</t>
  </si>
  <si>
    <t>Cleaning supplies</t>
  </si>
  <si>
    <t>Transport</t>
  </si>
  <si>
    <t>EXP-KU-001</t>
  </si>
  <si>
    <t>Station errands</t>
  </si>
  <si>
    <t>Security</t>
  </si>
  <si>
    <t>EXP-TA-001</t>
  </si>
  <si>
    <t>Night security payment</t>
  </si>
  <si>
    <t>openingCash</t>
  </si>
  <si>
    <t>cardSales</t>
  </si>
  <si>
    <t>cashSales</t>
  </si>
  <si>
    <t>mobileMoney</t>
  </si>
  <si>
    <t>returns</t>
  </si>
  <si>
    <t>netMartSalesFormula</t>
  </si>
  <si>
    <t>physicalCashCount</t>
  </si>
  <si>
    <t>cashVarianceFormula</t>
  </si>
  <si>
    <t>serviceType</t>
  </si>
  <si>
    <t>vehicleCategory</t>
  </si>
  <si>
    <t>defaultLabourCharge</t>
  </si>
  <si>
    <t>Oil Change</t>
  </si>
  <si>
    <t>Salon and Sedans</t>
  </si>
  <si>
    <t>Wheel Rotation</t>
  </si>
  <si>
    <t>SUV and Crossovers</t>
  </si>
  <si>
    <t>Light Commercial Vehicles</t>
  </si>
  <si>
    <t>Heavy Duty &amp; Commercial Trucks</t>
  </si>
  <si>
    <t>quantity</t>
  </si>
  <si>
    <t>productAmountFormula</t>
  </si>
  <si>
    <t>labourCharge</t>
  </si>
  <si>
    <t>discount</t>
  </si>
  <si>
    <t>totalExpectedFormula</t>
  </si>
  <si>
    <t>paymentMode</t>
  </si>
  <si>
    <t>cashAmount</t>
  </si>
  <si>
    <t>cardAmount</t>
  </si>
  <si>
    <t>momoAmount</t>
  </si>
  <si>
    <t>creditAmount</t>
  </si>
  <si>
    <t>technicianName</t>
  </si>
  <si>
    <t>GR 4412-22</t>
  </si>
  <si>
    <t>Yaw Appiah</t>
  </si>
  <si>
    <t>Michael Tetteh</t>
  </si>
  <si>
    <t>GW 9090-20</t>
  </si>
  <si>
    <t>Akosua Manu</t>
  </si>
  <si>
    <t>NR 7788-21</t>
  </si>
  <si>
    <t>Hassan Iddrisu</t>
  </si>
  <si>
    <t>CARD</t>
  </si>
  <si>
    <t>Mubarak Adams</t>
  </si>
  <si>
    <t>pumpCash</t>
  </si>
  <si>
    <t>debtorCashPayments</t>
  </si>
  <si>
    <t>actualExpenditure</t>
  </si>
  <si>
    <t>expectedCashToBankFormula</t>
  </si>
  <si>
    <t>alreadyBankedBeforeThisEntry</t>
  </si>
  <si>
    <t>amountToBank</t>
  </si>
  <si>
    <t>bankCollectionDate</t>
  </si>
  <si>
    <t>collectionReference</t>
  </si>
  <si>
    <t>bankSignatureName</t>
  </si>
  <si>
    <t>supervisorSignatureName</t>
  </si>
  <si>
    <t>BANK-AC-001</t>
  </si>
  <si>
    <t>Abena Banku</t>
  </si>
  <si>
    <t>BANK-KU-001</t>
  </si>
  <si>
    <t>Kwame Adu</t>
  </si>
  <si>
    <t>BANK-TA-001</t>
  </si>
  <si>
    <t>Mariam Adam</t>
  </si>
  <si>
    <t>pumpExpected</t>
  </si>
  <si>
    <t>hqDirect</t>
  </si>
  <si>
    <t>expectedCashToBank</t>
  </si>
  <si>
    <t>cashBanked</t>
  </si>
  <si>
    <t>bankingVariance</t>
  </si>
  <si>
    <t>martNetSales</t>
  </si>
  <si>
    <t>martCashVariance</t>
  </si>
  <si>
    <t>tankVarianceLitres</t>
  </si>
  <si>
    <t>dischargeVarianceLitres</t>
  </si>
  <si>
    <t>Area</t>
  </si>
  <si>
    <t>Rule</t>
  </si>
  <si>
    <t>Tenant isolation</t>
  </si>
  <si>
    <t>Every row must include companyCode, and station-scoped rows must include stationCode.</t>
  </si>
  <si>
    <t>Business codes</t>
  </si>
  <si>
    <t>Import should resolve companyCode, stationCode, productCode, tankCode, pumpCode, nozzleCode, debtorCode, and user email to database IDs.</t>
  </si>
  <si>
    <t>Users</t>
  </si>
  <si>
    <t>Do not import real passwords. Generate temporary passwords and force reset on first login.</t>
  </si>
  <si>
    <t>Cash collection</t>
  </si>
  <si>
    <t>Reject new amountToBank when remaining expected cash is zero/negative or the amount exceeds remaining expected cash.</t>
  </si>
  <si>
    <t>Expenditure</t>
  </si>
  <si>
    <t>Amount is actual expenditure only. Do not use paymentToBank for returned imprest.</t>
  </si>
  <si>
    <t>Product discharge</t>
  </si>
  <si>
    <t>expectedTankAfterDischarge = beforeTankLitres + productDischargedLitres + adjustmentTopUpLitres.</t>
  </si>
  <si>
    <t>Tank dipping</t>
  </si>
  <si>
    <t>varianceLitres = closingStockLitres - (openingStockLitres + receiptsLitres - meterSoldLitres).</t>
  </si>
  <si>
    <t>Pump sales</t>
  </si>
  <si>
    <t>Expected amount = litres sold * station product price. Total collection channels should equal expected amount unless a variance is intentional.</t>
  </si>
  <si>
    <t>Backup restore</t>
  </si>
  <si>
    <t>Restore to existing tenant must be validate-first and require explicit confirmation before data replacement.</t>
  </si>
  <si>
    <t>FuelStation OS E2E Summary</t>
  </si>
  <si>
    <t>Metric</t>
  </si>
  <si>
    <t>Akwaaba Accra</t>
  </si>
  <si>
    <t>Akwaaba Kumasi</t>
  </si>
  <si>
    <t>Northbridge Tamale</t>
  </si>
  <si>
    <t>Expected Outcome</t>
  </si>
  <si>
    <t>Owner Review</t>
  </si>
  <si>
    <t>Notes</t>
  </si>
  <si>
    <t>Banking Variance</t>
  </si>
  <si>
    <t>All zero</t>
  </si>
  <si>
    <t>Pass when all zero</t>
  </si>
  <si>
    <t>Calculated in Expected Reconciliation</t>
  </si>
  <si>
    <t>Tank Variance (L)</t>
  </si>
  <si>
    <t>Tank Dipping should reconcile to meter sold</t>
  </si>
  <si>
    <t>Discharge Variance (L)</t>
  </si>
  <si>
    <t>Zero where discharge exists</t>
  </si>
  <si>
    <t>Pass when zero</t>
  </si>
  <si>
    <t>Top-up is included for Northbridge</t>
  </si>
  <si>
    <t>Manual Test Flow</t>
  </si>
  <si>
    <t>Page</t>
  </si>
  <si>
    <t>Expected result</t>
  </si>
  <si>
    <t>1</t>
  </si>
  <si>
    <t>Super Admin / Platform</t>
  </si>
  <si>
    <t>Create tenants AKF and NBF or validate importer creates them.</t>
  </si>
  <si>
    <t>2</t>
  </si>
  <si>
    <t>Setup</t>
  </si>
  <si>
    <t>Create stations, products, prices, tanks, pumps, nozzles, debtors, users.</t>
  </si>
  <si>
    <t>3</t>
  </si>
  <si>
    <t>Command Center</t>
  </si>
  <si>
    <t>Open a daily session for each station.</t>
  </si>
  <si>
    <t>4</t>
  </si>
  <si>
    <t>Forecourt/Cash/Mart/Lube</t>
  </si>
  <si>
    <t>Enter the day using operational tabs.</t>
  </si>
  <si>
    <t>5</t>
  </si>
  <si>
    <t>Daily Close</t>
  </si>
  <si>
    <t>All required workflows complete; variances align with Expected Reconciliation.</t>
  </si>
  <si>
    <t>6</t>
  </si>
  <si>
    <t>Reports/Admin</t>
  </si>
  <si>
    <t>Confirm audit trail and tenant isolation.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</si>
</sst>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name val="Carlito"/>
    </font>
    <font>
      <sz val="10"/>
      <color rgb="FF0F172A"/>
      <name val="Inter"/>
    </font>
    <font>
      <b/>
      <sz val="10"/>
      <color rgb="FFFFFFFF"/>
      <name val="Inter"/>
    </font>
    <font>
      <b/>
      <sz val="16"/>
      <color rgb="FFFFFFFF"/>
      <name val="Inter"/>
    </font>
    <font>
      <b/>
      <sz val="11"/>
      <color rgb="FFFFFFFF"/>
      <name val="Carlito"/>
    </font>
    <font>
      <sz val="11"/>
      <name val="Carlito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2B5A"/>
      </patternFill>
    </fill>
    <fill>
      <patternFill patternType="solid">
        <fgColor rgb="FFA6783A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4" fontId="2" fillId="2" borderId="0" xfId="0" applyNumberFormat="1" applyFont="1" applyFill="1" applyBorder="1" applyAlignment="1">
      <alignment horizontal="center" vertical="top" wrapText="1"/>
    </xf>
    <xf numFmtId="4" fontId="1" fillId="0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/>
    <xf numFmtId="0" fontId="0" fillId="0" borderId="1" xfId="0" applyNumberFormat="1" applyFont="1" applyFill="1" applyBorder="1"/>
    <xf numFmtId="0" fontId="4" fillId="2" borderId="1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0" fontId="0" fillId="0" borderId="0" xfId="0"/>
    <xf numFmtId="0" fontId="8" fillId="0" borderId="1" xfId="4" applyNumberFormat="1" applyFill="1" applyBorder="1" applyAlignment="1">
      <alignment vertical="top" wrapText="1"/>
    </xf>
    <xf numFmtId="43" fontId="0" fillId="0" borderId="0" xfId="1" applyFont="1"/>
    <xf numFmtId="4" fontId="8" fillId="0" borderId="1" xfId="4" applyNumberFormat="1" applyFill="1" applyBorder="1" applyAlignment="1">
      <alignment vertical="top" wrapText="1"/>
    </xf>
    <xf numFmtId="4" fontId="6" fillId="4" borderId="1" xfId="2" applyNumberFormat="1" applyBorder="1" applyAlignment="1">
      <alignment vertical="top" wrapText="1"/>
    </xf>
    <xf numFmtId="0" fontId="6" fillId="4" borderId="0" xfId="2"/>
    <xf numFmtId="4" fontId="7" fillId="5" borderId="1" xfId="3" applyNumberFormat="1" applyBorder="1" applyAlignment="1">
      <alignment vertical="top" wrapText="1"/>
    </xf>
    <xf numFmtId="0" fontId="7" fillId="5" borderId="0" xfId="3"/>
    <xf numFmtId="0" fontId="6" fillId="4" borderId="1" xfId="2" applyNumberFormat="1" applyBorder="1" applyAlignment="1">
      <alignment vertical="top" wrapText="1"/>
    </xf>
  </cellXfs>
  <cellStyles count="5">
    <cellStyle name="Bad" xfId="3" builtinId="27"/>
    <cellStyle name="Comma" xfId="1" builtinId="3"/>
    <cellStyle name="Good" xfId="2" builtinId="26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b2f93973a92f4271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inance@northbridgefuels.com" TargetMode="External"/><Relationship Id="rId2" Type="http://schemas.openxmlformats.org/officeDocument/2006/relationships/hyperlink" Target="mailto:ama.boateng@akwaabaenergy.com" TargetMode="External"/><Relationship Id="rId1" Type="http://schemas.openxmlformats.org/officeDocument/2006/relationships/hyperlink" Target="mailto:accounts@akwaabaenergy.com" TargetMode="External"/><Relationship Id="rId4" Type="http://schemas.openxmlformats.org/officeDocument/2006/relationships/hyperlink" Target="mailto:suleman.yakubu@northbridgefuels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ojo.armah@akwaabaenergy.com" TargetMode="External"/><Relationship Id="rId2" Type="http://schemas.openxmlformats.org/officeDocument/2006/relationships/hyperlink" Target="mailto:linda.owusu@akwaabaenergy.com" TargetMode="External"/><Relationship Id="rId1" Type="http://schemas.openxmlformats.org/officeDocument/2006/relationships/hyperlink" Target="mailto:kwesi.mensah@akwaabaenergy.com" TargetMode="External"/><Relationship Id="rId6" Type="http://schemas.openxmlformats.org/officeDocument/2006/relationships/hyperlink" Target="mailto:esi.arthur@akwaabaenergy.com" TargetMode="External"/><Relationship Id="rId5" Type="http://schemas.openxmlformats.org/officeDocument/2006/relationships/hyperlink" Target="mailto:nana.agyekum@akwaabaenergy.com" TargetMode="External"/><Relationship Id="rId4" Type="http://schemas.openxmlformats.org/officeDocument/2006/relationships/hyperlink" Target="mailto:adwoa.serwaa@akwaabaenergy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payables@ridgeconstruction.com" TargetMode="External"/><Relationship Id="rId1" Type="http://schemas.openxmlformats.org/officeDocument/2006/relationships/hyperlink" Target="mailto:accounts@mensahlogistics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kojo.armah@akwaabaenergy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esi.arthur@akwaaba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workbookViewId="0"/>
  </sheetViews>
  <sheetFormatPr defaultRowHeight="13.8"/>
  <cols>
    <col min="1" max="1" width="30" customWidth="1"/>
    <col min="2" max="2" width="112.5" customWidth="1"/>
  </cols>
  <sheetData>
    <row r="1" spans="1:2" ht="26.4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showGridLines="0" tabSelected="1" workbookViewId="0">
      <selection activeCell="B3" sqref="B3"/>
    </sheetView>
  </sheetViews>
  <sheetFormatPr defaultRowHeight="13.8"/>
  <cols>
    <col min="1" max="1" width="12.19921875" bestFit="1" customWidth="1"/>
    <col min="2" max="2" width="16.69921875" bestFit="1" customWidth="1"/>
    <col min="3" max="3" width="13.296875" bestFit="1" customWidth="1"/>
    <col min="4" max="4" width="17.5" bestFit="1" customWidth="1"/>
    <col min="5" max="5" width="16" bestFit="1" customWidth="1"/>
    <col min="6" max="6" width="10.59765625" bestFit="1" customWidth="1"/>
    <col min="7" max="7" width="8.796875" bestFit="1" customWidth="1"/>
    <col min="8" max="8" width="9.5" bestFit="1" customWidth="1"/>
    <col min="9" max="9" width="18.5" bestFit="1" customWidth="1"/>
    <col min="10" max="10" width="17.69921875" bestFit="1" customWidth="1"/>
    <col min="11" max="11" width="13.296875" bestFit="1" customWidth="1"/>
    <col min="12" max="12" width="18.59765625" bestFit="1" customWidth="1"/>
  </cols>
  <sheetData>
    <row r="1" spans="1:1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ht="27.6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3</v>
      </c>
      <c r="G2" s="2">
        <v>10</v>
      </c>
      <c r="H2" s="2">
        <v>8</v>
      </c>
      <c r="I2" s="11" t="s">
        <v>26</v>
      </c>
      <c r="J2" s="2" t="s">
        <v>27</v>
      </c>
      <c r="K2" s="2" t="s">
        <v>28</v>
      </c>
      <c r="L2" s="11" t="s">
        <v>29</v>
      </c>
    </row>
    <row r="3" spans="1:12" ht="27.6">
      <c r="A3" s="2" t="s">
        <v>30</v>
      </c>
      <c r="B3" s="2" t="s">
        <v>31</v>
      </c>
      <c r="C3" s="2" t="s">
        <v>32</v>
      </c>
      <c r="D3" s="2" t="s">
        <v>33</v>
      </c>
      <c r="E3" s="2" t="s">
        <v>25</v>
      </c>
      <c r="F3" s="2">
        <v>1</v>
      </c>
      <c r="G3" s="2">
        <v>4</v>
      </c>
      <c r="H3" s="2">
        <v>3</v>
      </c>
      <c r="I3" s="11" t="s">
        <v>34</v>
      </c>
      <c r="J3" s="2" t="s">
        <v>35</v>
      </c>
      <c r="K3" s="2" t="s">
        <v>36</v>
      </c>
      <c r="L3" s="11" t="s">
        <v>37</v>
      </c>
    </row>
  </sheetData>
  <hyperlinks>
    <hyperlink ref="I2" r:id="rId1"/>
    <hyperlink ref="L2" r:id="rId2"/>
    <hyperlink ref="I3" r:id="rId3"/>
    <hyperlink ref="L3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>
      <selection activeCell="D3" sqref="D3"/>
    </sheetView>
  </sheetViews>
  <sheetFormatPr defaultRowHeight="13.8"/>
  <cols>
    <col min="1" max="5" width="18.69921875" customWidth="1"/>
    <col min="8" max="8" width="14.59765625" bestFit="1" customWidth="1"/>
    <col min="9" max="9" width="10.19921875" bestFit="1" customWidth="1"/>
  </cols>
  <sheetData>
    <row r="1" spans="1:9">
      <c r="A1" s="1" t="s">
        <v>9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9">
      <c r="A2" s="2" t="s">
        <v>21</v>
      </c>
      <c r="B2" s="2" t="s">
        <v>42</v>
      </c>
      <c r="C2" s="2" t="s">
        <v>43</v>
      </c>
      <c r="D2" s="2" t="s">
        <v>44</v>
      </c>
      <c r="E2" s="2" t="s">
        <v>25</v>
      </c>
    </row>
    <row r="3" spans="1:9">
      <c r="A3" s="2" t="s">
        <v>21</v>
      </c>
      <c r="B3" s="2" t="s">
        <v>45</v>
      </c>
      <c r="C3" s="2" t="s">
        <v>46</v>
      </c>
      <c r="D3" s="2" t="s">
        <v>47</v>
      </c>
      <c r="E3" s="2" t="s">
        <v>25</v>
      </c>
    </row>
    <row r="4" spans="1:9" ht="26.4">
      <c r="A4" s="2" t="s">
        <v>30</v>
      </c>
      <c r="B4" s="2" t="s">
        <v>48</v>
      </c>
      <c r="C4" s="2" t="s">
        <v>49</v>
      </c>
      <c r="D4" s="2" t="s">
        <v>50</v>
      </c>
      <c r="E4" s="2" t="s">
        <v>25</v>
      </c>
    </row>
    <row r="10" spans="1:9">
      <c r="I10" s="12"/>
    </row>
    <row r="11" spans="1:9">
      <c r="I11" s="12"/>
    </row>
    <row r="12" spans="1:9">
      <c r="I1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>
      <selection activeCell="C3" sqref="C3"/>
    </sheetView>
  </sheetViews>
  <sheetFormatPr defaultRowHeight="13.8"/>
  <cols>
    <col min="1" max="7" width="18.69921875" customWidth="1"/>
  </cols>
  <sheetData>
    <row r="1" spans="1:7" ht="26.4">
      <c r="A1" s="1" t="s">
        <v>9</v>
      </c>
      <c r="B1" s="1" t="s">
        <v>51</v>
      </c>
      <c r="C1" s="1" t="s">
        <v>52</v>
      </c>
      <c r="D1" s="1" t="s">
        <v>53</v>
      </c>
      <c r="E1" s="1" t="s">
        <v>38</v>
      </c>
      <c r="F1" s="1" t="s">
        <v>54</v>
      </c>
      <c r="G1" s="1" t="s">
        <v>41</v>
      </c>
    </row>
    <row r="2" spans="1:7" ht="26.4">
      <c r="A2" s="2" t="s">
        <v>21</v>
      </c>
      <c r="B2" s="2" t="s">
        <v>28</v>
      </c>
      <c r="C2" s="2" t="s">
        <v>29</v>
      </c>
      <c r="D2" s="2" t="s">
        <v>55</v>
      </c>
      <c r="E2" s="2"/>
      <c r="F2" s="2" t="s">
        <v>56</v>
      </c>
      <c r="G2" s="2" t="s">
        <v>25</v>
      </c>
    </row>
    <row r="3" spans="1:7" ht="27.6">
      <c r="A3" s="2" t="s">
        <v>21</v>
      </c>
      <c r="B3" s="2" t="s">
        <v>57</v>
      </c>
      <c r="C3" s="11" t="s">
        <v>58</v>
      </c>
      <c r="D3" s="2" t="s">
        <v>59</v>
      </c>
      <c r="E3" s="2"/>
      <c r="F3" s="2" t="s">
        <v>56</v>
      </c>
      <c r="G3" s="2" t="s">
        <v>25</v>
      </c>
    </row>
    <row r="4" spans="1:7" ht="27.6">
      <c r="A4" s="2" t="s">
        <v>21</v>
      </c>
      <c r="B4" s="2" t="s">
        <v>60</v>
      </c>
      <c r="C4" s="11" t="s">
        <v>61</v>
      </c>
      <c r="D4" s="2" t="s">
        <v>62</v>
      </c>
      <c r="E4" s="2" t="s">
        <v>42</v>
      </c>
      <c r="F4" s="2" t="s">
        <v>56</v>
      </c>
      <c r="G4" s="2" t="s">
        <v>25</v>
      </c>
    </row>
    <row r="5" spans="1:7" ht="27.6">
      <c r="A5" s="2" t="s">
        <v>21</v>
      </c>
      <c r="B5" s="2" t="s">
        <v>63</v>
      </c>
      <c r="C5" s="11" t="s">
        <v>64</v>
      </c>
      <c r="D5" s="2" t="s">
        <v>65</v>
      </c>
      <c r="E5" s="2" t="s">
        <v>42</v>
      </c>
      <c r="F5" s="2" t="s">
        <v>56</v>
      </c>
      <c r="G5" s="2" t="s">
        <v>25</v>
      </c>
    </row>
    <row r="6" spans="1:7" ht="27.6">
      <c r="A6" s="2" t="s">
        <v>21</v>
      </c>
      <c r="B6" s="2" t="s">
        <v>66</v>
      </c>
      <c r="C6" s="11" t="s">
        <v>67</v>
      </c>
      <c r="D6" s="2" t="s">
        <v>68</v>
      </c>
      <c r="E6" s="2" t="s">
        <v>42</v>
      </c>
      <c r="F6" s="2" t="s">
        <v>56</v>
      </c>
      <c r="G6" s="2" t="s">
        <v>25</v>
      </c>
    </row>
    <row r="7" spans="1:7" ht="27.6">
      <c r="A7" s="2" t="s">
        <v>21</v>
      </c>
      <c r="B7" s="2" t="s">
        <v>69</v>
      </c>
      <c r="C7" s="11" t="s">
        <v>70</v>
      </c>
      <c r="D7" s="2" t="s">
        <v>62</v>
      </c>
      <c r="E7" s="2" t="s">
        <v>45</v>
      </c>
      <c r="F7" s="2" t="s">
        <v>56</v>
      </c>
      <c r="G7" s="2" t="s">
        <v>25</v>
      </c>
    </row>
    <row r="8" spans="1:7" ht="27.6">
      <c r="A8" s="2" t="s">
        <v>21</v>
      </c>
      <c r="B8" s="2" t="s">
        <v>71</v>
      </c>
      <c r="C8" s="11" t="s">
        <v>72</v>
      </c>
      <c r="D8" s="2" t="s">
        <v>65</v>
      </c>
      <c r="E8" s="2" t="s">
        <v>45</v>
      </c>
      <c r="F8" s="2" t="s">
        <v>56</v>
      </c>
      <c r="G8" s="2" t="s">
        <v>25</v>
      </c>
    </row>
    <row r="9" spans="1:7" ht="26.4">
      <c r="A9" s="2" t="s">
        <v>30</v>
      </c>
      <c r="B9" s="2" t="s">
        <v>36</v>
      </c>
      <c r="C9" s="2" t="s">
        <v>37</v>
      </c>
      <c r="D9" s="2" t="s">
        <v>55</v>
      </c>
      <c r="E9" s="2"/>
      <c r="F9" s="2" t="s">
        <v>56</v>
      </c>
      <c r="G9" s="2" t="s">
        <v>25</v>
      </c>
    </row>
    <row r="10" spans="1:7" ht="26.4">
      <c r="A10" s="2" t="s">
        <v>30</v>
      </c>
      <c r="B10" s="2" t="s">
        <v>73</v>
      </c>
      <c r="C10" s="2" t="s">
        <v>74</v>
      </c>
      <c r="D10" s="2" t="s">
        <v>62</v>
      </c>
      <c r="E10" s="2" t="s">
        <v>48</v>
      </c>
      <c r="F10" s="2" t="s">
        <v>56</v>
      </c>
      <c r="G10" s="2" t="s">
        <v>25</v>
      </c>
    </row>
    <row r="11" spans="1:7" ht="26.4">
      <c r="A11" s="2" t="s">
        <v>30</v>
      </c>
      <c r="B11" s="2" t="s">
        <v>75</v>
      </c>
      <c r="C11" s="2" t="s">
        <v>76</v>
      </c>
      <c r="D11" s="2" t="s">
        <v>65</v>
      </c>
      <c r="E11" s="2" t="s">
        <v>48</v>
      </c>
      <c r="F11" s="2" t="s">
        <v>56</v>
      </c>
      <c r="G11" s="2" t="s">
        <v>25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workbookViewId="0">
      <selection activeCell="C7" sqref="C7"/>
    </sheetView>
  </sheetViews>
  <sheetFormatPr defaultRowHeight="13.8"/>
  <cols>
    <col min="1" max="5" width="18.69921875" customWidth="1"/>
  </cols>
  <sheetData>
    <row r="1" spans="1:5">
      <c r="A1" s="1" t="s">
        <v>9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s="2" t="s">
        <v>21</v>
      </c>
      <c r="B2" s="2" t="s">
        <v>81</v>
      </c>
      <c r="C2" s="2" t="s">
        <v>82</v>
      </c>
      <c r="D2" s="2" t="s">
        <v>83</v>
      </c>
      <c r="E2" s="3" t="b">
        <v>1</v>
      </c>
    </row>
    <row r="3" spans="1:5">
      <c r="A3" s="2" t="s">
        <v>21</v>
      </c>
      <c r="B3" s="2" t="s">
        <v>84</v>
      </c>
      <c r="C3" s="2" t="s">
        <v>85</v>
      </c>
      <c r="D3" s="2" t="s">
        <v>83</v>
      </c>
      <c r="E3" s="3" t="b">
        <v>1</v>
      </c>
    </row>
    <row r="4" spans="1:5">
      <c r="A4" s="2" t="s">
        <v>21</v>
      </c>
      <c r="B4" s="2" t="s">
        <v>86</v>
      </c>
      <c r="C4" s="2" t="s">
        <v>87</v>
      </c>
      <c r="D4" s="2" t="s">
        <v>83</v>
      </c>
      <c r="E4" s="3" t="b">
        <v>1</v>
      </c>
    </row>
    <row r="5" spans="1:5">
      <c r="A5" s="2" t="s">
        <v>21</v>
      </c>
      <c r="B5" s="2" t="s">
        <v>88</v>
      </c>
      <c r="C5" s="2" t="s">
        <v>89</v>
      </c>
      <c r="D5" s="2" t="s">
        <v>90</v>
      </c>
      <c r="E5" s="3" t="b">
        <v>1</v>
      </c>
    </row>
    <row r="6" spans="1:5">
      <c r="A6" s="2" t="s">
        <v>21</v>
      </c>
      <c r="B6" s="2" t="s">
        <v>91</v>
      </c>
      <c r="C6" s="2" t="s">
        <v>92</v>
      </c>
      <c r="D6" s="2" t="s">
        <v>93</v>
      </c>
      <c r="E6" s="3" t="b">
        <v>1</v>
      </c>
    </row>
    <row r="7" spans="1:5">
      <c r="A7" s="2" t="s">
        <v>21</v>
      </c>
      <c r="B7" s="2" t="s">
        <v>94</v>
      </c>
      <c r="C7" s="2" t="s">
        <v>95</v>
      </c>
      <c r="D7" s="2" t="s">
        <v>93</v>
      </c>
      <c r="E7" s="3" t="b">
        <v>1</v>
      </c>
    </row>
    <row r="8" spans="1:5">
      <c r="A8" s="2" t="s">
        <v>30</v>
      </c>
      <c r="B8" s="2" t="s">
        <v>81</v>
      </c>
      <c r="C8" s="2" t="s">
        <v>82</v>
      </c>
      <c r="D8" s="2" t="s">
        <v>83</v>
      </c>
      <c r="E8" s="3" t="b">
        <v>1</v>
      </c>
    </row>
    <row r="9" spans="1:5">
      <c r="A9" s="2" t="s">
        <v>30</v>
      </c>
      <c r="B9" s="2" t="s">
        <v>84</v>
      </c>
      <c r="C9" s="2" t="s">
        <v>85</v>
      </c>
      <c r="D9" s="2" t="s">
        <v>83</v>
      </c>
      <c r="E9" s="3" t="b">
        <v>1</v>
      </c>
    </row>
    <row r="10" spans="1:5">
      <c r="A10" s="2" t="s">
        <v>30</v>
      </c>
      <c r="B10" s="2" t="s">
        <v>86</v>
      </c>
      <c r="C10" s="2" t="s">
        <v>87</v>
      </c>
      <c r="D10" s="2" t="s">
        <v>83</v>
      </c>
      <c r="E10" s="3" t="b">
        <v>1</v>
      </c>
    </row>
    <row r="11" spans="1:5">
      <c r="A11" s="2" t="s">
        <v>30</v>
      </c>
      <c r="B11" s="2" t="s">
        <v>96</v>
      </c>
      <c r="C11" s="2" t="s">
        <v>97</v>
      </c>
      <c r="D11" s="2" t="s">
        <v>90</v>
      </c>
      <c r="E11" s="3" t="b">
        <v>1</v>
      </c>
    </row>
    <row r="12" spans="1:5">
      <c r="A12" s="2" t="s">
        <v>30</v>
      </c>
      <c r="B12" s="2" t="s">
        <v>98</v>
      </c>
      <c r="C12" s="2" t="s">
        <v>99</v>
      </c>
      <c r="D12" s="2" t="s">
        <v>93</v>
      </c>
      <c r="E12" s="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workbookViewId="0">
      <selection activeCell="C12" sqref="C12"/>
    </sheetView>
  </sheetViews>
  <sheetFormatPr defaultRowHeight="13.8"/>
  <cols>
    <col min="1" max="6" width="18.69921875" customWidth="1"/>
  </cols>
  <sheetData>
    <row r="1" spans="1:6">
      <c r="A1" s="1" t="s">
        <v>9</v>
      </c>
      <c r="B1" s="1" t="s">
        <v>38</v>
      </c>
      <c r="C1" s="1" t="s">
        <v>77</v>
      </c>
      <c r="D1" s="1" t="s">
        <v>100</v>
      </c>
      <c r="E1" s="1" t="s">
        <v>101</v>
      </c>
      <c r="F1" s="1" t="s">
        <v>102</v>
      </c>
    </row>
    <row r="2" spans="1:6">
      <c r="A2" s="2" t="s">
        <v>21</v>
      </c>
      <c r="B2" s="2" t="s">
        <v>42</v>
      </c>
      <c r="C2" s="2" t="s">
        <v>81</v>
      </c>
      <c r="D2" s="2" t="s">
        <v>103</v>
      </c>
      <c r="E2" s="2">
        <v>15.31</v>
      </c>
      <c r="F2" s="2" t="s">
        <v>104</v>
      </c>
    </row>
    <row r="3" spans="1:6">
      <c r="A3" s="2" t="s">
        <v>21</v>
      </c>
      <c r="B3" s="2" t="s">
        <v>42</v>
      </c>
      <c r="C3" s="2" t="s">
        <v>84</v>
      </c>
      <c r="D3" s="2" t="s">
        <v>103</v>
      </c>
      <c r="E3" s="2">
        <v>14.85</v>
      </c>
      <c r="F3" s="2" t="s">
        <v>104</v>
      </c>
    </row>
    <row r="4" spans="1:6">
      <c r="A4" s="2" t="s">
        <v>21</v>
      </c>
      <c r="B4" s="2" t="s">
        <v>42</v>
      </c>
      <c r="C4" s="2" t="s">
        <v>86</v>
      </c>
      <c r="D4" s="2" t="s">
        <v>103</v>
      </c>
      <c r="E4" s="2">
        <v>15.95</v>
      </c>
      <c r="F4" s="2" t="s">
        <v>104</v>
      </c>
    </row>
    <row r="5" spans="1:6">
      <c r="A5" s="2" t="s">
        <v>21</v>
      </c>
      <c r="B5" s="2" t="s">
        <v>42</v>
      </c>
      <c r="C5" s="2" t="s">
        <v>88</v>
      </c>
      <c r="D5" s="2" t="s">
        <v>103</v>
      </c>
      <c r="E5" s="2">
        <v>95</v>
      </c>
      <c r="F5" s="2" t="s">
        <v>105</v>
      </c>
    </row>
    <row r="6" spans="1:6">
      <c r="A6" s="2" t="s">
        <v>21</v>
      </c>
      <c r="B6" s="2" t="s">
        <v>42</v>
      </c>
      <c r="C6" s="2" t="s">
        <v>91</v>
      </c>
      <c r="D6" s="2" t="s">
        <v>103</v>
      </c>
      <c r="E6" s="2">
        <v>80</v>
      </c>
      <c r="F6" s="2" t="s">
        <v>105</v>
      </c>
    </row>
    <row r="7" spans="1:6">
      <c r="A7" s="2" t="s">
        <v>21</v>
      </c>
      <c r="B7" s="2" t="s">
        <v>42</v>
      </c>
      <c r="C7" s="2" t="s">
        <v>94</v>
      </c>
      <c r="D7" s="2" t="s">
        <v>103</v>
      </c>
      <c r="E7" s="2">
        <v>220</v>
      </c>
      <c r="F7" s="2" t="s">
        <v>105</v>
      </c>
    </row>
    <row r="8" spans="1:6">
      <c r="A8" s="2" t="s">
        <v>21</v>
      </c>
      <c r="B8" s="2" t="s">
        <v>45</v>
      </c>
      <c r="C8" s="2" t="s">
        <v>81</v>
      </c>
      <c r="D8" s="2" t="s">
        <v>103</v>
      </c>
      <c r="E8" s="2">
        <v>15.29</v>
      </c>
      <c r="F8" s="2" t="s">
        <v>104</v>
      </c>
    </row>
    <row r="9" spans="1:6">
      <c r="A9" s="2" t="s">
        <v>21</v>
      </c>
      <c r="B9" s="2" t="s">
        <v>45</v>
      </c>
      <c r="C9" s="2" t="s">
        <v>84</v>
      </c>
      <c r="D9" s="2" t="s">
        <v>103</v>
      </c>
      <c r="E9" s="2">
        <v>14.82</v>
      </c>
      <c r="F9" s="2" t="s">
        <v>104</v>
      </c>
    </row>
    <row r="10" spans="1:6">
      <c r="A10" s="2" t="s">
        <v>21</v>
      </c>
      <c r="B10" s="2" t="s">
        <v>45</v>
      </c>
      <c r="C10" s="2" t="s">
        <v>86</v>
      </c>
      <c r="D10" s="2" t="s">
        <v>103</v>
      </c>
      <c r="E10" s="2">
        <v>15.9</v>
      </c>
      <c r="F10" s="2" t="s">
        <v>104</v>
      </c>
    </row>
    <row r="11" spans="1:6">
      <c r="A11" s="2" t="s">
        <v>21</v>
      </c>
      <c r="B11" s="2" t="s">
        <v>45</v>
      </c>
      <c r="C11" s="2" t="s">
        <v>88</v>
      </c>
      <c r="D11" s="2" t="s">
        <v>103</v>
      </c>
      <c r="E11" s="2">
        <v>95</v>
      </c>
      <c r="F11" s="2" t="s">
        <v>105</v>
      </c>
    </row>
    <row r="12" spans="1:6">
      <c r="A12" s="2" t="s">
        <v>21</v>
      </c>
      <c r="B12" s="2" t="s">
        <v>45</v>
      </c>
      <c r="C12" s="2" t="s">
        <v>91</v>
      </c>
      <c r="D12" s="2" t="s">
        <v>103</v>
      </c>
      <c r="E12" s="2">
        <v>80</v>
      </c>
      <c r="F12" s="2" t="s">
        <v>105</v>
      </c>
    </row>
    <row r="13" spans="1:6">
      <c r="A13" s="2" t="s">
        <v>30</v>
      </c>
      <c r="B13" s="2" t="s">
        <v>48</v>
      </c>
      <c r="C13" s="2" t="s">
        <v>81</v>
      </c>
      <c r="D13" s="2" t="s">
        <v>103</v>
      </c>
      <c r="E13" s="2">
        <v>15.35</v>
      </c>
      <c r="F13" s="2" t="s">
        <v>104</v>
      </c>
    </row>
    <row r="14" spans="1:6">
      <c r="A14" s="2" t="s">
        <v>30</v>
      </c>
      <c r="B14" s="2" t="s">
        <v>48</v>
      </c>
      <c r="C14" s="2" t="s">
        <v>84</v>
      </c>
      <c r="D14" s="2" t="s">
        <v>103</v>
      </c>
      <c r="E14" s="2">
        <v>14.9</v>
      </c>
      <c r="F14" s="2" t="s">
        <v>104</v>
      </c>
    </row>
    <row r="15" spans="1:6">
      <c r="A15" s="2" t="s">
        <v>30</v>
      </c>
      <c r="B15" s="2" t="s">
        <v>48</v>
      </c>
      <c r="C15" s="2" t="s">
        <v>86</v>
      </c>
      <c r="D15" s="2" t="s">
        <v>103</v>
      </c>
      <c r="E15" s="2">
        <v>16</v>
      </c>
      <c r="F15" s="2" t="s">
        <v>104</v>
      </c>
    </row>
    <row r="16" spans="1:6">
      <c r="A16" s="2" t="s">
        <v>30</v>
      </c>
      <c r="B16" s="2" t="s">
        <v>48</v>
      </c>
      <c r="C16" s="2" t="s">
        <v>96</v>
      </c>
      <c r="D16" s="2" t="s">
        <v>103</v>
      </c>
      <c r="E16" s="2">
        <v>105</v>
      </c>
      <c r="F16" s="2" t="s">
        <v>105</v>
      </c>
    </row>
    <row r="17" spans="1:6">
      <c r="A17" s="2" t="s">
        <v>30</v>
      </c>
      <c r="B17" s="2" t="s">
        <v>48</v>
      </c>
      <c r="C17" s="2" t="s">
        <v>98</v>
      </c>
      <c r="D17" s="2" t="s">
        <v>103</v>
      </c>
      <c r="E17" s="2">
        <v>65</v>
      </c>
      <c r="F17" s="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workbookViewId="0">
      <selection activeCell="D6" sqref="D6"/>
    </sheetView>
  </sheetViews>
  <sheetFormatPr defaultRowHeight="13.8"/>
  <cols>
    <col min="1" max="7" width="18.69921875" customWidth="1"/>
  </cols>
  <sheetData>
    <row r="1" spans="1:7">
      <c r="A1" s="1" t="s">
        <v>9</v>
      </c>
      <c r="B1" s="1" t="s">
        <v>38</v>
      </c>
      <c r="C1" s="1" t="s">
        <v>106</v>
      </c>
      <c r="D1" s="1" t="s">
        <v>107</v>
      </c>
      <c r="E1" s="1" t="s">
        <v>77</v>
      </c>
      <c r="F1" s="1" t="s">
        <v>108</v>
      </c>
      <c r="G1" s="1" t="s">
        <v>41</v>
      </c>
    </row>
    <row r="2" spans="1:7">
      <c r="A2" s="2" t="s">
        <v>21</v>
      </c>
      <c r="B2" s="2" t="s">
        <v>42</v>
      </c>
      <c r="C2" s="2" t="s">
        <v>109</v>
      </c>
      <c r="D2" s="2" t="s">
        <v>110</v>
      </c>
      <c r="E2" s="2" t="s">
        <v>81</v>
      </c>
      <c r="F2" s="2">
        <v>30000</v>
      </c>
      <c r="G2" s="2" t="s">
        <v>25</v>
      </c>
    </row>
    <row r="3" spans="1:7">
      <c r="A3" s="2" t="s">
        <v>21</v>
      </c>
      <c r="B3" s="2" t="s">
        <v>42</v>
      </c>
      <c r="C3" s="2" t="s">
        <v>111</v>
      </c>
      <c r="D3" s="2" t="s">
        <v>112</v>
      </c>
      <c r="E3" s="2" t="s">
        <v>84</v>
      </c>
      <c r="F3" s="2">
        <v>25000</v>
      </c>
      <c r="G3" s="2" t="s">
        <v>25</v>
      </c>
    </row>
    <row r="4" spans="1:7">
      <c r="A4" s="2" t="s">
        <v>21</v>
      </c>
      <c r="B4" s="2" t="s">
        <v>42</v>
      </c>
      <c r="C4" s="2" t="s">
        <v>113</v>
      </c>
      <c r="D4" s="2" t="s">
        <v>114</v>
      </c>
      <c r="E4" s="2" t="s">
        <v>86</v>
      </c>
      <c r="F4" s="2">
        <v>35000</v>
      </c>
      <c r="G4" s="2" t="s">
        <v>25</v>
      </c>
    </row>
    <row r="5" spans="1:7">
      <c r="A5" s="2" t="s">
        <v>21</v>
      </c>
      <c r="B5" s="2" t="s">
        <v>45</v>
      </c>
      <c r="C5" s="2" t="s">
        <v>115</v>
      </c>
      <c r="D5" s="2" t="s">
        <v>110</v>
      </c>
      <c r="E5" s="2" t="s">
        <v>81</v>
      </c>
      <c r="F5" s="2">
        <v>25000</v>
      </c>
      <c r="G5" s="2" t="s">
        <v>25</v>
      </c>
    </row>
    <row r="6" spans="1:7">
      <c r="A6" s="2" t="s">
        <v>21</v>
      </c>
      <c r="B6" s="2" t="s">
        <v>45</v>
      </c>
      <c r="C6" s="2" t="s">
        <v>116</v>
      </c>
      <c r="D6" s="2" t="s">
        <v>117</v>
      </c>
      <c r="E6" s="2" t="s">
        <v>86</v>
      </c>
      <c r="F6" s="2">
        <v>30000</v>
      </c>
      <c r="G6" s="2" t="s">
        <v>25</v>
      </c>
    </row>
    <row r="7" spans="1:7">
      <c r="A7" s="2" t="s">
        <v>30</v>
      </c>
      <c r="B7" s="2" t="s">
        <v>48</v>
      </c>
      <c r="C7" s="2" t="s">
        <v>118</v>
      </c>
      <c r="D7" s="2" t="s">
        <v>119</v>
      </c>
      <c r="E7" s="2" t="s">
        <v>84</v>
      </c>
      <c r="F7" s="2">
        <v>22000</v>
      </c>
      <c r="G7" s="2" t="s">
        <v>25</v>
      </c>
    </row>
    <row r="8" spans="1:7">
      <c r="A8" s="2" t="s">
        <v>30</v>
      </c>
      <c r="B8" s="2" t="s">
        <v>48</v>
      </c>
      <c r="C8" s="2" t="s">
        <v>120</v>
      </c>
      <c r="D8" s="2" t="s">
        <v>117</v>
      </c>
      <c r="E8" s="2" t="s">
        <v>86</v>
      </c>
      <c r="F8" s="2">
        <v>30000</v>
      </c>
      <c r="G8" s="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showGridLines="0" workbookViewId="0">
      <selection activeCell="D2" sqref="D2"/>
    </sheetView>
  </sheetViews>
  <sheetFormatPr defaultRowHeight="13.8"/>
  <cols>
    <col min="1" max="5" width="18.69921875" customWidth="1"/>
  </cols>
  <sheetData>
    <row r="1" spans="1:5">
      <c r="A1" s="1" t="s">
        <v>9</v>
      </c>
      <c r="B1" s="1" t="s">
        <v>38</v>
      </c>
      <c r="C1" s="1" t="s">
        <v>121</v>
      </c>
      <c r="D1" s="1" t="s">
        <v>122</v>
      </c>
      <c r="E1" s="1" t="s">
        <v>41</v>
      </c>
    </row>
    <row r="2" spans="1:5">
      <c r="A2" s="2" t="s">
        <v>21</v>
      </c>
      <c r="B2" s="2" t="s">
        <v>42</v>
      </c>
      <c r="C2" s="2" t="s">
        <v>123</v>
      </c>
      <c r="D2" s="2" t="s">
        <v>124</v>
      </c>
      <c r="E2" s="2" t="s">
        <v>25</v>
      </c>
    </row>
    <row r="3" spans="1:5">
      <c r="A3" s="2" t="s">
        <v>21</v>
      </c>
      <c r="B3" s="2" t="s">
        <v>42</v>
      </c>
      <c r="C3" s="2" t="s">
        <v>125</v>
      </c>
      <c r="D3" s="2" t="s">
        <v>126</v>
      </c>
      <c r="E3" s="2" t="s">
        <v>25</v>
      </c>
    </row>
    <row r="4" spans="1:5">
      <c r="A4" s="2" t="s">
        <v>21</v>
      </c>
      <c r="B4" s="2" t="s">
        <v>45</v>
      </c>
      <c r="C4" s="2" t="s">
        <v>127</v>
      </c>
      <c r="D4" s="2" t="s">
        <v>124</v>
      </c>
      <c r="E4" s="2" t="s">
        <v>25</v>
      </c>
    </row>
    <row r="5" spans="1:5">
      <c r="A5" s="2" t="s">
        <v>21</v>
      </c>
      <c r="B5" s="2" t="s">
        <v>45</v>
      </c>
      <c r="C5" s="2" t="s">
        <v>128</v>
      </c>
      <c r="D5" s="2" t="s">
        <v>126</v>
      </c>
      <c r="E5" s="2" t="s">
        <v>25</v>
      </c>
    </row>
    <row r="6" spans="1:5">
      <c r="A6" s="2" t="s">
        <v>30</v>
      </c>
      <c r="B6" s="2" t="s">
        <v>48</v>
      </c>
      <c r="C6" s="2" t="s">
        <v>129</v>
      </c>
      <c r="D6" s="2" t="s">
        <v>124</v>
      </c>
      <c r="E6" s="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selection activeCell="G8" sqref="G8"/>
    </sheetView>
  </sheetViews>
  <sheetFormatPr defaultRowHeight="13.8"/>
  <cols>
    <col min="1" max="8" width="18.69921875" customWidth="1"/>
  </cols>
  <sheetData>
    <row r="1" spans="1:8">
      <c r="A1" s="1" t="s">
        <v>9</v>
      </c>
      <c r="B1" s="1" t="s">
        <v>38</v>
      </c>
      <c r="C1" s="1" t="s">
        <v>121</v>
      </c>
      <c r="D1" s="1" t="s">
        <v>130</v>
      </c>
      <c r="E1" s="1" t="s">
        <v>131</v>
      </c>
      <c r="F1" s="1" t="s">
        <v>77</v>
      </c>
      <c r="G1" s="1" t="s">
        <v>132</v>
      </c>
      <c r="H1" s="1" t="s">
        <v>41</v>
      </c>
    </row>
    <row r="2" spans="1:8">
      <c r="A2" s="2" t="s">
        <v>21</v>
      </c>
      <c r="B2" s="2" t="s">
        <v>42</v>
      </c>
      <c r="C2" s="2" t="s">
        <v>123</v>
      </c>
      <c r="D2" s="2" t="s">
        <v>133</v>
      </c>
      <c r="E2" s="2" t="s">
        <v>134</v>
      </c>
      <c r="F2" s="2" t="s">
        <v>81</v>
      </c>
      <c r="G2" s="2" t="s">
        <v>135</v>
      </c>
      <c r="H2" s="2" t="s">
        <v>25</v>
      </c>
    </row>
    <row r="3" spans="1:8">
      <c r="A3" s="2" t="s">
        <v>21</v>
      </c>
      <c r="B3" s="2" t="s">
        <v>42</v>
      </c>
      <c r="C3" s="2" t="s">
        <v>123</v>
      </c>
      <c r="D3" s="2" t="s">
        <v>136</v>
      </c>
      <c r="E3" s="2" t="s">
        <v>137</v>
      </c>
      <c r="F3" s="2" t="s">
        <v>86</v>
      </c>
      <c r="G3" s="2" t="s">
        <v>138</v>
      </c>
      <c r="H3" s="2" t="s">
        <v>25</v>
      </c>
    </row>
    <row r="4" spans="1:8">
      <c r="A4" s="2" t="s">
        <v>21</v>
      </c>
      <c r="B4" s="2" t="s">
        <v>42</v>
      </c>
      <c r="C4" s="2" t="s">
        <v>125</v>
      </c>
      <c r="D4" s="2" t="s">
        <v>139</v>
      </c>
      <c r="E4" s="2" t="s">
        <v>140</v>
      </c>
      <c r="F4" s="2" t="s">
        <v>84</v>
      </c>
      <c r="G4" s="2" t="s">
        <v>141</v>
      </c>
      <c r="H4" s="2" t="s">
        <v>25</v>
      </c>
    </row>
    <row r="5" spans="1:8">
      <c r="A5" s="2" t="s">
        <v>21</v>
      </c>
      <c r="B5" s="2" t="s">
        <v>42</v>
      </c>
      <c r="C5" s="2" t="s">
        <v>125</v>
      </c>
      <c r="D5" s="2" t="s">
        <v>142</v>
      </c>
      <c r="E5" s="2" t="s">
        <v>143</v>
      </c>
      <c r="F5" s="2" t="s">
        <v>86</v>
      </c>
      <c r="G5" s="2" t="s">
        <v>144</v>
      </c>
      <c r="H5" s="2" t="s">
        <v>25</v>
      </c>
    </row>
    <row r="6" spans="1:8">
      <c r="A6" s="2" t="s">
        <v>21</v>
      </c>
      <c r="B6" s="2" t="s">
        <v>45</v>
      </c>
      <c r="C6" s="2" t="s">
        <v>127</v>
      </c>
      <c r="D6" s="2" t="s">
        <v>145</v>
      </c>
      <c r="E6" s="2" t="s">
        <v>134</v>
      </c>
      <c r="F6" s="2" t="s">
        <v>81</v>
      </c>
      <c r="G6" s="2" t="s">
        <v>146</v>
      </c>
      <c r="H6" s="2" t="s">
        <v>25</v>
      </c>
    </row>
    <row r="7" spans="1:8">
      <c r="A7" s="2" t="s">
        <v>21</v>
      </c>
      <c r="B7" s="2" t="s">
        <v>45</v>
      </c>
      <c r="C7" s="2" t="s">
        <v>127</v>
      </c>
      <c r="D7" s="2" t="s">
        <v>147</v>
      </c>
      <c r="E7" s="2" t="s">
        <v>137</v>
      </c>
      <c r="F7" s="2" t="s">
        <v>86</v>
      </c>
      <c r="G7" s="2" t="s">
        <v>148</v>
      </c>
      <c r="H7" s="2" t="s">
        <v>25</v>
      </c>
    </row>
    <row r="8" spans="1:8">
      <c r="A8" s="2" t="s">
        <v>21</v>
      </c>
      <c r="B8" s="2" t="s">
        <v>45</v>
      </c>
      <c r="C8" s="2" t="s">
        <v>128</v>
      </c>
      <c r="D8" s="2" t="s">
        <v>149</v>
      </c>
      <c r="E8" s="2" t="s">
        <v>140</v>
      </c>
      <c r="F8" s="2" t="s">
        <v>86</v>
      </c>
      <c r="G8" s="2" t="s">
        <v>150</v>
      </c>
      <c r="H8" s="2" t="s">
        <v>25</v>
      </c>
    </row>
    <row r="9" spans="1:8">
      <c r="A9" s="2" t="s">
        <v>30</v>
      </c>
      <c r="B9" s="2" t="s">
        <v>48</v>
      </c>
      <c r="C9" s="2" t="s">
        <v>129</v>
      </c>
      <c r="D9" s="2" t="s">
        <v>151</v>
      </c>
      <c r="E9" s="2" t="s">
        <v>134</v>
      </c>
      <c r="F9" s="2" t="s">
        <v>84</v>
      </c>
      <c r="G9" s="2" t="s">
        <v>152</v>
      </c>
      <c r="H9" s="2" t="s">
        <v>25</v>
      </c>
    </row>
    <row r="10" spans="1:8">
      <c r="A10" s="2" t="s">
        <v>30</v>
      </c>
      <c r="B10" s="2" t="s">
        <v>48</v>
      </c>
      <c r="C10" s="2" t="s">
        <v>129</v>
      </c>
      <c r="D10" s="2" t="s">
        <v>153</v>
      </c>
      <c r="E10" s="2" t="s">
        <v>137</v>
      </c>
      <c r="F10" s="2" t="s">
        <v>86</v>
      </c>
      <c r="G10" s="2" t="s">
        <v>154</v>
      </c>
      <c r="H10" s="2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showGridLines="0" workbookViewId="0">
      <selection activeCell="G3" sqref="G3"/>
    </sheetView>
  </sheetViews>
  <sheetFormatPr defaultRowHeight="13.8"/>
  <cols>
    <col min="1" max="9" width="18.69921875" customWidth="1"/>
  </cols>
  <sheetData>
    <row r="1" spans="1:9">
      <c r="A1" s="1" t="s">
        <v>9</v>
      </c>
      <c r="B1" s="1" t="s">
        <v>38</v>
      </c>
      <c r="C1" s="1" t="s">
        <v>155</v>
      </c>
      <c r="D1" s="1" t="s">
        <v>156</v>
      </c>
      <c r="E1" s="1" t="s">
        <v>157</v>
      </c>
      <c r="F1" s="1" t="s">
        <v>52</v>
      </c>
      <c r="G1" s="1" t="s">
        <v>158</v>
      </c>
      <c r="H1" s="1" t="s">
        <v>159</v>
      </c>
      <c r="I1" s="1" t="s">
        <v>41</v>
      </c>
    </row>
    <row r="2" spans="1:9" ht="27.6">
      <c r="A2" s="2" t="s">
        <v>21</v>
      </c>
      <c r="B2" s="2" t="s">
        <v>42</v>
      </c>
      <c r="C2" s="2" t="s">
        <v>160</v>
      </c>
      <c r="D2" s="2" t="s">
        <v>161</v>
      </c>
      <c r="E2" s="2">
        <v>244001100</v>
      </c>
      <c r="F2" s="11" t="s">
        <v>162</v>
      </c>
      <c r="G2" s="2">
        <v>10000</v>
      </c>
      <c r="H2" s="2">
        <v>1250</v>
      </c>
      <c r="I2" s="2" t="s">
        <v>25</v>
      </c>
    </row>
    <row r="3" spans="1:9" ht="27.6">
      <c r="A3" s="2" t="s">
        <v>21</v>
      </c>
      <c r="B3" s="2" t="s">
        <v>45</v>
      </c>
      <c r="C3" s="2" t="s">
        <v>163</v>
      </c>
      <c r="D3" s="2" t="s">
        <v>164</v>
      </c>
      <c r="E3" s="2">
        <v>205002200</v>
      </c>
      <c r="F3" s="11" t="s">
        <v>165</v>
      </c>
      <c r="G3" s="2">
        <v>15000</v>
      </c>
      <c r="H3" s="2">
        <v>0</v>
      </c>
      <c r="I3" s="2" t="s">
        <v>25</v>
      </c>
    </row>
    <row r="4" spans="1:9" ht="26.4">
      <c r="A4" s="2" t="s">
        <v>30</v>
      </c>
      <c r="B4" s="2" t="s">
        <v>48</v>
      </c>
      <c r="C4" s="2" t="s">
        <v>166</v>
      </c>
      <c r="D4" s="2" t="s">
        <v>167</v>
      </c>
      <c r="E4" s="2" t="s">
        <v>168</v>
      </c>
      <c r="F4" s="2" t="s">
        <v>169</v>
      </c>
      <c r="G4" s="2">
        <v>8000</v>
      </c>
      <c r="H4" s="2">
        <v>780</v>
      </c>
      <c r="I4" s="2" t="s">
        <v>25</v>
      </c>
    </row>
  </sheetData>
  <hyperlinks>
    <hyperlink ref="F2" r:id="rId1"/>
    <hyperlink ref="F3" r:id="rId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showGridLines="0" workbookViewId="0">
      <selection activeCell="E3" sqref="E3"/>
    </sheetView>
  </sheetViews>
  <sheetFormatPr defaultRowHeight="13.8"/>
  <cols>
    <col min="1" max="6" width="18.69921875" customWidth="1"/>
  </cols>
  <sheetData>
    <row r="1" spans="1:6">
      <c r="A1" s="1" t="s">
        <v>9</v>
      </c>
      <c r="B1" s="1" t="s">
        <v>38</v>
      </c>
      <c r="C1" s="1" t="s">
        <v>170</v>
      </c>
      <c r="D1" s="1" t="s">
        <v>171</v>
      </c>
      <c r="E1" s="1" t="s">
        <v>172</v>
      </c>
      <c r="F1" s="1" t="s">
        <v>41</v>
      </c>
    </row>
    <row r="2" spans="1:6" ht="27.6">
      <c r="A2" s="2" t="s">
        <v>21</v>
      </c>
      <c r="B2" s="2" t="s">
        <v>42</v>
      </c>
      <c r="C2" s="2" t="s">
        <v>103</v>
      </c>
      <c r="D2" s="2" t="s">
        <v>173</v>
      </c>
      <c r="E2" s="11" t="s">
        <v>64</v>
      </c>
      <c r="F2" s="2" t="s">
        <v>174</v>
      </c>
    </row>
    <row r="3" spans="1:6" ht="26.4">
      <c r="A3" s="2" t="s">
        <v>21</v>
      </c>
      <c r="B3" s="2" t="s">
        <v>45</v>
      </c>
      <c r="C3" s="2" t="s">
        <v>103</v>
      </c>
      <c r="D3" s="2" t="s">
        <v>173</v>
      </c>
      <c r="E3" s="2" t="s">
        <v>72</v>
      </c>
      <c r="F3" s="2" t="s">
        <v>174</v>
      </c>
    </row>
    <row r="4" spans="1:6" ht="26.4">
      <c r="A4" s="2" t="s">
        <v>30</v>
      </c>
      <c r="B4" s="2" t="s">
        <v>48</v>
      </c>
      <c r="C4" s="2" t="s">
        <v>103</v>
      </c>
      <c r="D4" s="2" t="s">
        <v>173</v>
      </c>
      <c r="E4" s="2" t="s">
        <v>76</v>
      </c>
      <c r="F4" s="2" t="s">
        <v>174</v>
      </c>
    </row>
  </sheetData>
  <hyperlinks>
    <hyperlink ref="E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showGridLines="0" topLeftCell="G1" workbookViewId="0">
      <selection activeCell="O8" sqref="O8"/>
    </sheetView>
  </sheetViews>
  <sheetFormatPr defaultRowHeight="13.8"/>
  <cols>
    <col min="1" max="19" width="18.69921875" customWidth="1"/>
  </cols>
  <sheetData>
    <row r="1" spans="1:19" ht="26.4">
      <c r="A1" s="4" t="s">
        <v>9</v>
      </c>
      <c r="B1" s="4" t="s">
        <v>38</v>
      </c>
      <c r="C1" s="4" t="s">
        <v>170</v>
      </c>
      <c r="D1" s="4" t="s">
        <v>171</v>
      </c>
      <c r="E1" s="4" t="s">
        <v>130</v>
      </c>
      <c r="F1" s="4" t="s">
        <v>77</v>
      </c>
      <c r="G1" s="4" t="s">
        <v>175</v>
      </c>
      <c r="H1" s="4" t="s">
        <v>176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181</v>
      </c>
      <c r="N1" s="4" t="s">
        <v>182</v>
      </c>
      <c r="O1" s="4" t="s">
        <v>183</v>
      </c>
      <c r="P1" s="4" t="s">
        <v>184</v>
      </c>
      <c r="Q1" s="4" t="s">
        <v>185</v>
      </c>
      <c r="R1" s="4" t="s">
        <v>186</v>
      </c>
      <c r="S1" s="4" t="s">
        <v>187</v>
      </c>
    </row>
    <row r="2" spans="1:19" s="15" customFormat="1" ht="28.8">
      <c r="A2" s="14" t="s">
        <v>21</v>
      </c>
      <c r="B2" s="14" t="s">
        <v>42</v>
      </c>
      <c r="C2" s="14" t="s">
        <v>103</v>
      </c>
      <c r="D2" s="14" t="s">
        <v>173</v>
      </c>
      <c r="E2" s="14" t="s">
        <v>133</v>
      </c>
      <c r="F2" s="14" t="s">
        <v>81</v>
      </c>
      <c r="G2" s="14">
        <v>49784.99</v>
      </c>
      <c r="H2" s="14">
        <v>50084.99</v>
      </c>
      <c r="I2" s="14">
        <f t="shared" ref="I2:I10" si="0">H2-G2</f>
        <v>300</v>
      </c>
      <c r="J2" s="14">
        <v>15.31</v>
      </c>
      <c r="K2" s="14">
        <f t="shared" ref="K2:K10" si="1">I2*J2</f>
        <v>4593</v>
      </c>
      <c r="L2" s="14">
        <v>3000</v>
      </c>
      <c r="M2" s="14">
        <v>500</v>
      </c>
      <c r="N2" s="14">
        <v>300</v>
      </c>
      <c r="O2" s="14">
        <v>793</v>
      </c>
      <c r="P2" s="14">
        <v>0</v>
      </c>
      <c r="Q2" s="14">
        <f t="shared" ref="Q2:Q10" si="2">SUM(L2:P2)-K2</f>
        <v>0</v>
      </c>
      <c r="R2" s="14" t="s">
        <v>67</v>
      </c>
      <c r="S2" s="14" t="s">
        <v>188</v>
      </c>
    </row>
    <row r="3" spans="1:19" s="15" customFormat="1" ht="28.8">
      <c r="A3" s="14" t="s">
        <v>21</v>
      </c>
      <c r="B3" s="14" t="s">
        <v>42</v>
      </c>
      <c r="C3" s="14" t="s">
        <v>103</v>
      </c>
      <c r="D3" s="14" t="s">
        <v>173</v>
      </c>
      <c r="E3" s="14" t="s">
        <v>136</v>
      </c>
      <c r="F3" s="14" t="s">
        <v>86</v>
      </c>
      <c r="G3" s="14">
        <v>22980.799999999999</v>
      </c>
      <c r="H3" s="14">
        <v>23230.799999999999</v>
      </c>
      <c r="I3" s="14">
        <f t="shared" si="0"/>
        <v>250</v>
      </c>
      <c r="J3" s="14">
        <v>15.95</v>
      </c>
      <c r="K3" s="14">
        <f t="shared" si="1"/>
        <v>3987.5</v>
      </c>
      <c r="L3" s="14">
        <v>2500</v>
      </c>
      <c r="M3" s="14">
        <v>600</v>
      </c>
      <c r="N3" s="14">
        <v>0</v>
      </c>
      <c r="O3" s="14">
        <v>887.5</v>
      </c>
      <c r="P3" s="14">
        <v>0</v>
      </c>
      <c r="Q3" s="14">
        <f t="shared" si="2"/>
        <v>0</v>
      </c>
      <c r="R3" s="14" t="s">
        <v>67</v>
      </c>
      <c r="S3" s="14" t="s">
        <v>188</v>
      </c>
    </row>
    <row r="4" spans="1:19" s="15" customFormat="1" ht="28.8">
      <c r="A4" s="14" t="s">
        <v>21</v>
      </c>
      <c r="B4" s="14" t="s">
        <v>42</v>
      </c>
      <c r="C4" s="14" t="s">
        <v>103</v>
      </c>
      <c r="D4" s="14" t="s">
        <v>173</v>
      </c>
      <c r="E4" s="14" t="s">
        <v>139</v>
      </c>
      <c r="F4" s="14" t="s">
        <v>84</v>
      </c>
      <c r="G4" s="14">
        <v>18840</v>
      </c>
      <c r="H4" s="14">
        <v>19020</v>
      </c>
      <c r="I4" s="14">
        <f t="shared" si="0"/>
        <v>180</v>
      </c>
      <c r="J4" s="14">
        <v>14.85</v>
      </c>
      <c r="K4" s="14">
        <f t="shared" si="1"/>
        <v>2673</v>
      </c>
      <c r="L4" s="14">
        <v>1800</v>
      </c>
      <c r="M4" s="14">
        <v>0</v>
      </c>
      <c r="N4" s="14">
        <v>200</v>
      </c>
      <c r="O4" s="14">
        <v>300</v>
      </c>
      <c r="P4" s="14">
        <v>373</v>
      </c>
      <c r="Q4" s="14">
        <f t="shared" si="2"/>
        <v>0</v>
      </c>
      <c r="R4" s="14" t="s">
        <v>67</v>
      </c>
      <c r="S4" s="14" t="s">
        <v>189</v>
      </c>
    </row>
    <row r="5" spans="1:19" s="15" customFormat="1" ht="28.8">
      <c r="A5" s="14" t="s">
        <v>21</v>
      </c>
      <c r="B5" s="14" t="s">
        <v>42</v>
      </c>
      <c r="C5" s="14" t="s">
        <v>103</v>
      </c>
      <c r="D5" s="14" t="s">
        <v>173</v>
      </c>
      <c r="E5" s="14" t="s">
        <v>142</v>
      </c>
      <c r="F5" s="14" t="s">
        <v>86</v>
      </c>
      <c r="G5" s="14">
        <v>44120</v>
      </c>
      <c r="H5" s="14">
        <v>44340</v>
      </c>
      <c r="I5" s="14">
        <f t="shared" si="0"/>
        <v>220</v>
      </c>
      <c r="J5" s="14">
        <v>15.95</v>
      </c>
      <c r="K5" s="14">
        <f t="shared" si="1"/>
        <v>3509</v>
      </c>
      <c r="L5" s="14">
        <v>2400</v>
      </c>
      <c r="M5" s="14">
        <v>500</v>
      </c>
      <c r="N5" s="14">
        <v>0</v>
      </c>
      <c r="O5" s="14">
        <v>609</v>
      </c>
      <c r="P5" s="14">
        <v>0</v>
      </c>
      <c r="Q5" s="14">
        <f t="shared" si="2"/>
        <v>0</v>
      </c>
      <c r="R5" s="14" t="s">
        <v>67</v>
      </c>
      <c r="S5" s="14" t="s">
        <v>188</v>
      </c>
    </row>
    <row r="6" spans="1:19" s="17" customFormat="1" ht="28.8">
      <c r="A6" s="16" t="s">
        <v>21</v>
      </c>
      <c r="B6" s="16" t="s">
        <v>45</v>
      </c>
      <c r="C6" s="16" t="s">
        <v>103</v>
      </c>
      <c r="D6" s="16" t="s">
        <v>173</v>
      </c>
      <c r="E6" s="16" t="s">
        <v>145</v>
      </c>
      <c r="F6" s="16" t="s">
        <v>81</v>
      </c>
      <c r="G6" s="16">
        <v>10200</v>
      </c>
      <c r="H6" s="16">
        <v>10410</v>
      </c>
      <c r="I6" s="16">
        <f t="shared" si="0"/>
        <v>210</v>
      </c>
      <c r="J6" s="16">
        <v>15.29</v>
      </c>
      <c r="K6" s="16">
        <f t="shared" si="1"/>
        <v>3210.8999999999996</v>
      </c>
      <c r="L6" s="16">
        <v>2200</v>
      </c>
      <c r="M6" s="16">
        <v>500</v>
      </c>
      <c r="N6" s="16">
        <v>0</v>
      </c>
      <c r="O6" s="16">
        <v>510.9</v>
      </c>
      <c r="P6" s="16">
        <v>0</v>
      </c>
      <c r="Q6" s="16">
        <f t="shared" si="2"/>
        <v>0</v>
      </c>
      <c r="R6" s="16" t="s">
        <v>72</v>
      </c>
      <c r="S6" s="16" t="s">
        <v>188</v>
      </c>
    </row>
    <row r="7" spans="1:19" s="17" customFormat="1" ht="28.8">
      <c r="A7" s="16" t="s">
        <v>21</v>
      </c>
      <c r="B7" s="16" t="s">
        <v>45</v>
      </c>
      <c r="C7" s="16" t="s">
        <v>103</v>
      </c>
      <c r="D7" s="16" t="s">
        <v>173</v>
      </c>
      <c r="E7" s="16" t="s">
        <v>147</v>
      </c>
      <c r="F7" s="16" t="s">
        <v>86</v>
      </c>
      <c r="G7" s="16">
        <v>7850</v>
      </c>
      <c r="H7" s="16">
        <v>8050</v>
      </c>
      <c r="I7" s="16">
        <f t="shared" si="0"/>
        <v>200</v>
      </c>
      <c r="J7" s="16">
        <v>15.9</v>
      </c>
      <c r="K7" s="16">
        <f t="shared" si="1"/>
        <v>3180</v>
      </c>
      <c r="L7" s="16">
        <v>2400</v>
      </c>
      <c r="M7" s="16">
        <v>0</v>
      </c>
      <c r="N7" s="16">
        <v>250</v>
      </c>
      <c r="O7" s="16">
        <v>530</v>
      </c>
      <c r="P7" s="16">
        <v>0</v>
      </c>
      <c r="Q7" s="16">
        <f t="shared" si="2"/>
        <v>0</v>
      </c>
      <c r="R7" s="16" t="s">
        <v>72</v>
      </c>
      <c r="S7" s="16" t="s">
        <v>188</v>
      </c>
    </row>
    <row r="8" spans="1:19" s="17" customFormat="1" ht="28.8">
      <c r="A8" s="16" t="s">
        <v>21</v>
      </c>
      <c r="B8" s="16" t="s">
        <v>45</v>
      </c>
      <c r="C8" s="16" t="s">
        <v>103</v>
      </c>
      <c r="D8" s="16" t="s">
        <v>173</v>
      </c>
      <c r="E8" s="16" t="s">
        <v>149</v>
      </c>
      <c r="F8" s="16" t="s">
        <v>86</v>
      </c>
      <c r="G8" s="16">
        <v>6400</v>
      </c>
      <c r="H8" s="16">
        <v>6550</v>
      </c>
      <c r="I8" s="16">
        <f t="shared" si="0"/>
        <v>150</v>
      </c>
      <c r="J8" s="16">
        <v>15.9</v>
      </c>
      <c r="K8" s="16">
        <f t="shared" si="1"/>
        <v>2385</v>
      </c>
      <c r="L8" s="16">
        <v>1800</v>
      </c>
      <c r="M8" s="16">
        <v>0</v>
      </c>
      <c r="N8" s="16">
        <v>0</v>
      </c>
      <c r="O8" s="16">
        <v>585</v>
      </c>
      <c r="P8" s="16">
        <v>0</v>
      </c>
      <c r="Q8" s="16">
        <f t="shared" si="2"/>
        <v>0</v>
      </c>
      <c r="R8" s="16" t="s">
        <v>72</v>
      </c>
      <c r="S8" s="16" t="s">
        <v>188</v>
      </c>
    </row>
    <row r="9" spans="1:19" ht="26.4">
      <c r="A9" s="5" t="s">
        <v>30</v>
      </c>
      <c r="B9" s="5" t="s">
        <v>48</v>
      </c>
      <c r="C9" s="5" t="s">
        <v>103</v>
      </c>
      <c r="D9" s="5" t="s">
        <v>173</v>
      </c>
      <c r="E9" s="5" t="s">
        <v>151</v>
      </c>
      <c r="F9" s="5" t="s">
        <v>84</v>
      </c>
      <c r="G9" s="5">
        <v>33010</v>
      </c>
      <c r="H9" s="5">
        <v>33160</v>
      </c>
      <c r="I9" s="5">
        <f t="shared" si="0"/>
        <v>150</v>
      </c>
      <c r="J9" s="5">
        <v>14.9</v>
      </c>
      <c r="K9" s="5">
        <f t="shared" si="1"/>
        <v>2235</v>
      </c>
      <c r="L9" s="5">
        <v>1600</v>
      </c>
      <c r="M9" s="5">
        <v>300</v>
      </c>
      <c r="N9" s="5">
        <v>0</v>
      </c>
      <c r="O9" s="5">
        <v>335</v>
      </c>
      <c r="P9" s="5">
        <v>0</v>
      </c>
      <c r="Q9" s="5">
        <f t="shared" si="2"/>
        <v>0</v>
      </c>
      <c r="R9" s="5" t="s">
        <v>76</v>
      </c>
      <c r="S9" s="5" t="s">
        <v>188</v>
      </c>
    </row>
    <row r="10" spans="1:19" ht="26.4">
      <c r="A10" s="5" t="s">
        <v>30</v>
      </c>
      <c r="B10" s="5" t="s">
        <v>48</v>
      </c>
      <c r="C10" s="5" t="s">
        <v>103</v>
      </c>
      <c r="D10" s="5" t="s">
        <v>173</v>
      </c>
      <c r="E10" s="5" t="s">
        <v>153</v>
      </c>
      <c r="F10" s="5" t="s">
        <v>86</v>
      </c>
      <c r="G10" s="5">
        <v>21000</v>
      </c>
      <c r="H10" s="5">
        <v>21210</v>
      </c>
      <c r="I10" s="5">
        <f t="shared" si="0"/>
        <v>210</v>
      </c>
      <c r="J10" s="5">
        <v>16</v>
      </c>
      <c r="K10" s="5">
        <f t="shared" si="1"/>
        <v>3360</v>
      </c>
      <c r="L10" s="5">
        <v>2500</v>
      </c>
      <c r="M10" s="5">
        <v>0</v>
      </c>
      <c r="N10" s="5">
        <v>300</v>
      </c>
      <c r="O10" s="5">
        <v>560</v>
      </c>
      <c r="P10" s="5">
        <v>0</v>
      </c>
      <c r="Q10" s="5">
        <f t="shared" si="2"/>
        <v>0</v>
      </c>
      <c r="R10" s="5" t="s">
        <v>76</v>
      </c>
      <c r="S10" s="5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showGridLines="0" workbookViewId="0">
      <selection activeCell="D7" sqref="A7:XFD7"/>
    </sheetView>
  </sheetViews>
  <sheetFormatPr defaultRowHeight="13.8"/>
  <cols>
    <col min="1" max="12" width="18.69921875" customWidth="1"/>
  </cols>
  <sheetData>
    <row r="1" spans="1:12">
      <c r="A1" s="1" t="s">
        <v>9</v>
      </c>
      <c r="B1" s="1" t="s">
        <v>38</v>
      </c>
      <c r="C1" s="1" t="s">
        <v>170</v>
      </c>
      <c r="D1" s="1" t="s">
        <v>171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41</v>
      </c>
      <c r="L1" s="1" t="s">
        <v>187</v>
      </c>
    </row>
    <row r="2" spans="1:12" s="15" customFormat="1" ht="43.2">
      <c r="A2" s="18" t="s">
        <v>21</v>
      </c>
      <c r="B2" s="18" t="s">
        <v>42</v>
      </c>
      <c r="C2" s="18" t="s">
        <v>103</v>
      </c>
      <c r="D2" s="18" t="s">
        <v>173</v>
      </c>
      <c r="E2" s="18" t="s">
        <v>196</v>
      </c>
      <c r="F2" s="18">
        <v>1600</v>
      </c>
      <c r="G2" s="18" t="s">
        <v>197</v>
      </c>
      <c r="H2" s="18" t="s">
        <v>66</v>
      </c>
      <c r="I2" s="18" t="s">
        <v>198</v>
      </c>
      <c r="J2" s="18"/>
      <c r="K2" s="18" t="s">
        <v>199</v>
      </c>
      <c r="L2" s="18" t="s">
        <v>200</v>
      </c>
    </row>
    <row r="3" spans="1:12" s="15" customFormat="1" ht="14.4">
      <c r="A3" s="18" t="s">
        <v>21</v>
      </c>
      <c r="B3" s="18" t="s">
        <v>42</v>
      </c>
      <c r="C3" s="18" t="s">
        <v>103</v>
      </c>
      <c r="D3" s="18" t="s">
        <v>173</v>
      </c>
      <c r="E3" s="18" t="s">
        <v>201</v>
      </c>
      <c r="F3" s="18">
        <v>500</v>
      </c>
      <c r="G3" s="18" t="s">
        <v>202</v>
      </c>
      <c r="H3" s="18" t="s">
        <v>66</v>
      </c>
      <c r="I3" s="18" t="s">
        <v>203</v>
      </c>
      <c r="J3" s="18" t="s">
        <v>204</v>
      </c>
      <c r="K3" s="18" t="s">
        <v>199</v>
      </c>
      <c r="L3" s="18" t="s">
        <v>205</v>
      </c>
    </row>
    <row r="4" spans="1:12" s="15" customFormat="1" ht="28.8">
      <c r="A4" s="18" t="s">
        <v>21</v>
      </c>
      <c r="B4" s="18" t="s">
        <v>42</v>
      </c>
      <c r="C4" s="18" t="s">
        <v>103</v>
      </c>
      <c r="D4" s="18" t="s">
        <v>173</v>
      </c>
      <c r="E4" s="18" t="s">
        <v>206</v>
      </c>
      <c r="F4" s="18">
        <v>2589.5</v>
      </c>
      <c r="G4" s="18" t="s">
        <v>207</v>
      </c>
      <c r="H4" s="18" t="s">
        <v>66</v>
      </c>
      <c r="I4" s="18" t="s">
        <v>208</v>
      </c>
      <c r="J4" s="18"/>
      <c r="K4" s="18" t="s">
        <v>199</v>
      </c>
      <c r="L4" s="18" t="s">
        <v>209</v>
      </c>
    </row>
    <row r="5" spans="1:12" s="15" customFormat="1" ht="14.4">
      <c r="A5" s="18" t="s">
        <v>21</v>
      </c>
      <c r="B5" s="18" t="s">
        <v>45</v>
      </c>
      <c r="C5" s="18" t="s">
        <v>103</v>
      </c>
      <c r="D5" s="18" t="s">
        <v>173</v>
      </c>
      <c r="E5" s="18" t="s">
        <v>196</v>
      </c>
      <c r="F5" s="18">
        <v>500</v>
      </c>
      <c r="G5" s="18" t="s">
        <v>197</v>
      </c>
      <c r="H5" s="18" t="s">
        <v>71</v>
      </c>
      <c r="I5" s="18" t="s">
        <v>210</v>
      </c>
      <c r="J5" s="18"/>
      <c r="K5" s="18" t="s">
        <v>199</v>
      </c>
      <c r="L5" s="18"/>
    </row>
    <row r="6" spans="1:12" s="15" customFormat="1" ht="14.4">
      <c r="A6" s="18" t="s">
        <v>21</v>
      </c>
      <c r="B6" s="18" t="s">
        <v>45</v>
      </c>
      <c r="C6" s="18" t="s">
        <v>103</v>
      </c>
      <c r="D6" s="18" t="s">
        <v>173</v>
      </c>
      <c r="E6" s="18" t="s">
        <v>201</v>
      </c>
      <c r="F6" s="18">
        <v>250</v>
      </c>
      <c r="G6" s="18" t="s">
        <v>202</v>
      </c>
      <c r="H6" s="18" t="s">
        <v>71</v>
      </c>
      <c r="I6" s="18" t="s">
        <v>211</v>
      </c>
      <c r="J6" s="18" t="s">
        <v>212</v>
      </c>
      <c r="K6" s="18" t="s">
        <v>199</v>
      </c>
      <c r="L6" s="18"/>
    </row>
    <row r="7" spans="1:12" s="15" customFormat="1" ht="14.4">
      <c r="A7" s="18" t="s">
        <v>21</v>
      </c>
      <c r="B7" s="18" t="s">
        <v>45</v>
      </c>
      <c r="C7" s="18" t="s">
        <v>103</v>
      </c>
      <c r="D7" s="18" t="s">
        <v>173</v>
      </c>
      <c r="E7" s="18" t="s">
        <v>206</v>
      </c>
      <c r="F7" s="18">
        <v>1625.9</v>
      </c>
      <c r="G7" s="18" t="s">
        <v>207</v>
      </c>
      <c r="H7" s="18" t="s">
        <v>71</v>
      </c>
      <c r="I7" s="18" t="s">
        <v>213</v>
      </c>
      <c r="J7" s="18"/>
      <c r="K7" s="18" t="s">
        <v>199</v>
      </c>
      <c r="L7" s="18"/>
    </row>
    <row r="8" spans="1:12">
      <c r="A8" s="2" t="s">
        <v>30</v>
      </c>
      <c r="B8" s="2" t="s">
        <v>48</v>
      </c>
      <c r="C8" s="2" t="s">
        <v>103</v>
      </c>
      <c r="D8" s="2" t="s">
        <v>173</v>
      </c>
      <c r="E8" s="2" t="s">
        <v>196</v>
      </c>
      <c r="F8" s="2">
        <v>300</v>
      </c>
      <c r="G8" s="2" t="s">
        <v>197</v>
      </c>
      <c r="H8" s="2" t="s">
        <v>75</v>
      </c>
      <c r="I8" s="2" t="s">
        <v>214</v>
      </c>
      <c r="J8" s="2"/>
      <c r="K8" s="2" t="s">
        <v>199</v>
      </c>
      <c r="L8" s="2"/>
    </row>
    <row r="9" spans="1:12">
      <c r="A9" s="2" t="s">
        <v>30</v>
      </c>
      <c r="B9" s="2" t="s">
        <v>48</v>
      </c>
      <c r="C9" s="2" t="s">
        <v>103</v>
      </c>
      <c r="D9" s="2" t="s">
        <v>173</v>
      </c>
      <c r="E9" s="2" t="s">
        <v>201</v>
      </c>
      <c r="F9" s="2">
        <v>300</v>
      </c>
      <c r="G9" s="2" t="s">
        <v>202</v>
      </c>
      <c r="H9" s="2" t="s">
        <v>75</v>
      </c>
      <c r="I9" s="2" t="s">
        <v>215</v>
      </c>
      <c r="J9" s="2" t="s">
        <v>216</v>
      </c>
      <c r="K9" s="2" t="s">
        <v>199</v>
      </c>
      <c r="L9" s="2"/>
    </row>
    <row r="10" spans="1:12">
      <c r="A10" s="2" t="s">
        <v>30</v>
      </c>
      <c r="B10" s="2" t="s">
        <v>48</v>
      </c>
      <c r="C10" s="2" t="s">
        <v>103</v>
      </c>
      <c r="D10" s="2" t="s">
        <v>173</v>
      </c>
      <c r="E10" s="2" t="s">
        <v>206</v>
      </c>
      <c r="F10" s="2">
        <v>560</v>
      </c>
      <c r="G10" s="2" t="s">
        <v>207</v>
      </c>
      <c r="H10" s="2" t="s">
        <v>75</v>
      </c>
      <c r="I10" s="2" t="s">
        <v>217</v>
      </c>
      <c r="J10" s="2"/>
      <c r="K10" s="2" t="s">
        <v>199</v>
      </c>
      <c r="L1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showGridLines="0" topLeftCell="D1" workbookViewId="0">
      <selection activeCell="K3" sqref="K3"/>
    </sheetView>
  </sheetViews>
  <sheetFormatPr defaultRowHeight="13.8"/>
  <cols>
    <col min="1" max="11" width="18.69921875" customWidth="1"/>
  </cols>
  <sheetData>
    <row r="1" spans="1:11">
      <c r="A1" s="1" t="s">
        <v>9</v>
      </c>
      <c r="B1" s="1" t="s">
        <v>38</v>
      </c>
      <c r="C1" s="1" t="s">
        <v>170</v>
      </c>
      <c r="D1" s="1" t="s">
        <v>171</v>
      </c>
      <c r="E1" s="1" t="s">
        <v>155</v>
      </c>
      <c r="F1" s="1" t="s">
        <v>218</v>
      </c>
      <c r="G1" s="1" t="s">
        <v>191</v>
      </c>
      <c r="H1" s="1" t="s">
        <v>219</v>
      </c>
      <c r="I1" s="1" t="s">
        <v>220</v>
      </c>
      <c r="J1" s="1" t="s">
        <v>221</v>
      </c>
      <c r="K1" s="1" t="s">
        <v>187</v>
      </c>
    </row>
    <row r="2" spans="1:11" ht="26.4">
      <c r="A2" s="2" t="s">
        <v>21</v>
      </c>
      <c r="B2" s="2" t="s">
        <v>42</v>
      </c>
      <c r="C2" s="2" t="s">
        <v>103</v>
      </c>
      <c r="D2" s="2" t="s">
        <v>173</v>
      </c>
      <c r="E2" s="2" t="s">
        <v>160</v>
      </c>
      <c r="F2" s="2" t="s">
        <v>222</v>
      </c>
      <c r="G2" s="2">
        <v>373</v>
      </c>
      <c r="H2" s="2"/>
      <c r="I2" s="2" t="s">
        <v>223</v>
      </c>
      <c r="J2" s="2"/>
      <c r="K2" s="2" t="s">
        <v>224</v>
      </c>
    </row>
    <row r="3" spans="1:11" ht="26.4">
      <c r="A3" s="2" t="s">
        <v>21</v>
      </c>
      <c r="B3" s="2" t="s">
        <v>42</v>
      </c>
      <c r="C3" s="2" t="s">
        <v>103</v>
      </c>
      <c r="D3" s="2" t="s">
        <v>173</v>
      </c>
      <c r="E3" s="2" t="s">
        <v>160</v>
      </c>
      <c r="F3" s="2" t="s">
        <v>225</v>
      </c>
      <c r="G3" s="2">
        <v>500</v>
      </c>
      <c r="H3" s="2" t="s">
        <v>226</v>
      </c>
      <c r="I3" s="2" t="s">
        <v>227</v>
      </c>
      <c r="J3" s="2" t="s">
        <v>103</v>
      </c>
      <c r="K3" s="2" t="s">
        <v>228</v>
      </c>
    </row>
    <row r="4" spans="1:11" ht="26.4">
      <c r="A4" s="2" t="s">
        <v>30</v>
      </c>
      <c r="B4" s="2" t="s">
        <v>48</v>
      </c>
      <c r="C4" s="2" t="s">
        <v>103</v>
      </c>
      <c r="D4" s="2" t="s">
        <v>173</v>
      </c>
      <c r="E4" s="2" t="s">
        <v>166</v>
      </c>
      <c r="F4" s="2" t="s">
        <v>225</v>
      </c>
      <c r="G4" s="2">
        <v>300</v>
      </c>
      <c r="H4" s="2" t="s">
        <v>229</v>
      </c>
      <c r="I4" s="2" t="s">
        <v>230</v>
      </c>
      <c r="J4" s="2" t="s">
        <v>103</v>
      </c>
      <c r="K4" s="2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showGridLines="0" topLeftCell="M1" workbookViewId="0">
      <selection activeCell="P2" sqref="P2"/>
    </sheetView>
  </sheetViews>
  <sheetFormatPr defaultRowHeight="13.8"/>
  <cols>
    <col min="1" max="21" width="18.69921875" customWidth="1"/>
  </cols>
  <sheetData>
    <row r="1" spans="1:21" ht="26.4">
      <c r="A1" s="4" t="s">
        <v>9</v>
      </c>
      <c r="B1" s="4" t="s">
        <v>38</v>
      </c>
      <c r="C1" s="4" t="s">
        <v>170</v>
      </c>
      <c r="D1" s="4" t="s">
        <v>171</v>
      </c>
      <c r="E1" s="4" t="s">
        <v>106</v>
      </c>
      <c r="F1" s="4" t="s">
        <v>77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240</v>
      </c>
      <c r="P1" s="4" t="s">
        <v>241</v>
      </c>
      <c r="Q1" s="4" t="s">
        <v>242</v>
      </c>
      <c r="R1" s="4" t="s">
        <v>243</v>
      </c>
      <c r="S1" s="4" t="s">
        <v>244</v>
      </c>
      <c r="T1" s="4" t="s">
        <v>245</v>
      </c>
      <c r="U1" s="4" t="s">
        <v>246</v>
      </c>
    </row>
    <row r="2" spans="1:21">
      <c r="A2" s="5" t="s">
        <v>21</v>
      </c>
      <c r="B2" s="5" t="s">
        <v>42</v>
      </c>
      <c r="C2" s="5" t="s">
        <v>103</v>
      </c>
      <c r="D2" s="5" t="s">
        <v>173</v>
      </c>
      <c r="E2" s="5" t="s">
        <v>109</v>
      </c>
      <c r="F2" s="5" t="s">
        <v>81</v>
      </c>
      <c r="G2" s="5" t="s">
        <v>247</v>
      </c>
      <c r="H2" s="5" t="s">
        <v>248</v>
      </c>
      <c r="I2" s="5" t="s">
        <v>249</v>
      </c>
      <c r="J2" s="5" t="s">
        <v>250</v>
      </c>
      <c r="K2" s="5">
        <v>18200</v>
      </c>
      <c r="L2" s="5">
        <v>5000</v>
      </c>
      <c r="M2" s="5">
        <v>5000</v>
      </c>
      <c r="N2" s="5">
        <v>0</v>
      </c>
      <c r="O2" s="5">
        <f>K2+M2+N2</f>
        <v>23200</v>
      </c>
      <c r="P2" s="5">
        <v>23200</v>
      </c>
      <c r="Q2" s="5">
        <f>P2-O2</f>
        <v>0</v>
      </c>
      <c r="R2" s="5" t="s">
        <v>63</v>
      </c>
      <c r="S2" s="5">
        <v>12.5</v>
      </c>
      <c r="T2" s="5" t="s">
        <v>251</v>
      </c>
      <c r="U2" s="5">
        <v>4.2</v>
      </c>
    </row>
    <row r="3" spans="1:21">
      <c r="A3" s="5" t="s">
        <v>30</v>
      </c>
      <c r="B3" s="5" t="s">
        <v>48</v>
      </c>
      <c r="C3" s="5" t="s">
        <v>103</v>
      </c>
      <c r="D3" s="5" t="s">
        <v>173</v>
      </c>
      <c r="E3" s="5" t="s">
        <v>120</v>
      </c>
      <c r="F3" s="5" t="s">
        <v>86</v>
      </c>
      <c r="G3" s="5" t="s">
        <v>252</v>
      </c>
      <c r="H3" s="5" t="s">
        <v>253</v>
      </c>
      <c r="I3" s="5" t="s">
        <v>254</v>
      </c>
      <c r="J3" s="5" t="s">
        <v>255</v>
      </c>
      <c r="K3" s="5">
        <v>14500</v>
      </c>
      <c r="L3" s="5">
        <v>8000</v>
      </c>
      <c r="M3" s="5">
        <v>7900</v>
      </c>
      <c r="N3" s="5">
        <v>100</v>
      </c>
      <c r="O3" s="5">
        <f>K3+M3+N3</f>
        <v>22500</v>
      </c>
      <c r="P3" s="5">
        <v>22500</v>
      </c>
      <c r="Q3" s="5">
        <f>P3-O3</f>
        <v>0</v>
      </c>
      <c r="R3" s="5" t="s">
        <v>75</v>
      </c>
      <c r="S3" s="5">
        <v>11.8</v>
      </c>
      <c r="T3" s="5" t="s">
        <v>256</v>
      </c>
      <c r="U3" s="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topLeftCell="E1" workbookViewId="0">
      <selection activeCell="G5" sqref="G5"/>
    </sheetView>
  </sheetViews>
  <sheetFormatPr defaultRowHeight="13.8"/>
  <cols>
    <col min="1" max="15" width="18.69921875" customWidth="1"/>
  </cols>
  <sheetData>
    <row r="1" spans="1:15" ht="26.4">
      <c r="A1" s="4" t="s">
        <v>9</v>
      </c>
      <c r="B1" s="4" t="s">
        <v>38</v>
      </c>
      <c r="C1" s="4" t="s">
        <v>170</v>
      </c>
      <c r="D1" s="4" t="s">
        <v>171</v>
      </c>
      <c r="E1" s="4" t="s">
        <v>106</v>
      </c>
      <c r="F1" s="4" t="s">
        <v>77</v>
      </c>
      <c r="G1" s="4" t="s">
        <v>257</v>
      </c>
      <c r="H1" s="4" t="s">
        <v>258</v>
      </c>
      <c r="I1" s="4" t="s">
        <v>259</v>
      </c>
      <c r="J1" s="4" t="s">
        <v>260</v>
      </c>
      <c r="K1" s="4" t="s">
        <v>261</v>
      </c>
      <c r="L1" s="4" t="s">
        <v>262</v>
      </c>
      <c r="M1" s="4" t="s">
        <v>263</v>
      </c>
      <c r="N1" s="4" t="s">
        <v>264</v>
      </c>
      <c r="O1" s="4" t="s">
        <v>265</v>
      </c>
    </row>
    <row r="2" spans="1:15" ht="26.4">
      <c r="A2" s="5" t="s">
        <v>21</v>
      </c>
      <c r="B2" s="5" t="s">
        <v>42</v>
      </c>
      <c r="C2" s="5" t="s">
        <v>103</v>
      </c>
      <c r="D2" s="5" t="s">
        <v>173</v>
      </c>
      <c r="E2" s="5" t="s">
        <v>109</v>
      </c>
      <c r="F2" s="5" t="s">
        <v>81</v>
      </c>
      <c r="G2" s="5">
        <v>18200</v>
      </c>
      <c r="H2" s="5">
        <v>5000</v>
      </c>
      <c r="I2" s="5">
        <v>286.3</v>
      </c>
      <c r="J2" s="5">
        <v>22900</v>
      </c>
      <c r="K2" s="5">
        <v>300</v>
      </c>
      <c r="L2" s="5">
        <f t="shared" ref="L2:L8" si="0">G2+H2-K2</f>
        <v>22900</v>
      </c>
      <c r="M2" s="5">
        <f t="shared" ref="M2:M8" si="1">J2-L2</f>
        <v>0</v>
      </c>
      <c r="N2" s="5" t="s">
        <v>266</v>
      </c>
      <c r="O2" s="5" t="s">
        <v>64</v>
      </c>
    </row>
    <row r="3" spans="1:15" ht="26.4">
      <c r="A3" s="5" t="s">
        <v>21</v>
      </c>
      <c r="B3" s="5" t="s">
        <v>42</v>
      </c>
      <c r="C3" s="5" t="s">
        <v>103</v>
      </c>
      <c r="D3" s="5" t="s">
        <v>173</v>
      </c>
      <c r="E3" s="5" t="s">
        <v>111</v>
      </c>
      <c r="F3" s="5" t="s">
        <v>84</v>
      </c>
      <c r="G3" s="5">
        <v>14800</v>
      </c>
      <c r="H3" s="5">
        <v>0</v>
      </c>
      <c r="I3" s="5">
        <v>180.5</v>
      </c>
      <c r="J3" s="5">
        <v>14620</v>
      </c>
      <c r="K3" s="5">
        <v>180</v>
      </c>
      <c r="L3" s="5">
        <f t="shared" si="0"/>
        <v>14620</v>
      </c>
      <c r="M3" s="5">
        <f t="shared" si="1"/>
        <v>0</v>
      </c>
      <c r="N3" s="5" t="s">
        <v>266</v>
      </c>
      <c r="O3" s="5" t="s">
        <v>64</v>
      </c>
    </row>
    <row r="4" spans="1:15" ht="26.4">
      <c r="A4" s="5" t="s">
        <v>21</v>
      </c>
      <c r="B4" s="5" t="s">
        <v>42</v>
      </c>
      <c r="C4" s="5" t="s">
        <v>103</v>
      </c>
      <c r="D4" s="5" t="s">
        <v>173</v>
      </c>
      <c r="E4" s="5" t="s">
        <v>113</v>
      </c>
      <c r="F4" s="5" t="s">
        <v>86</v>
      </c>
      <c r="G4" s="5">
        <v>20100</v>
      </c>
      <c r="H4" s="5">
        <v>0</v>
      </c>
      <c r="I4" s="5">
        <v>246.2</v>
      </c>
      <c r="J4" s="5">
        <v>19630</v>
      </c>
      <c r="K4" s="5">
        <v>470</v>
      </c>
      <c r="L4" s="5">
        <f t="shared" si="0"/>
        <v>19630</v>
      </c>
      <c r="M4" s="5">
        <f t="shared" si="1"/>
        <v>0</v>
      </c>
      <c r="N4" s="5" t="s">
        <v>266</v>
      </c>
      <c r="O4" s="5" t="s">
        <v>64</v>
      </c>
    </row>
    <row r="5" spans="1:15" ht="27.6">
      <c r="A5" s="5" t="s">
        <v>21</v>
      </c>
      <c r="B5" s="5" t="s">
        <v>45</v>
      </c>
      <c r="C5" s="5" t="s">
        <v>103</v>
      </c>
      <c r="D5" s="5" t="s">
        <v>173</v>
      </c>
      <c r="E5" s="5" t="s">
        <v>115</v>
      </c>
      <c r="F5" s="5" t="s">
        <v>81</v>
      </c>
      <c r="G5" s="5">
        <v>12950</v>
      </c>
      <c r="H5" s="5">
        <v>0</v>
      </c>
      <c r="I5" s="5">
        <v>164.1</v>
      </c>
      <c r="J5" s="5">
        <v>12740</v>
      </c>
      <c r="K5" s="5">
        <v>210</v>
      </c>
      <c r="L5" s="5">
        <f t="shared" si="0"/>
        <v>12740</v>
      </c>
      <c r="M5" s="5">
        <f t="shared" si="1"/>
        <v>0</v>
      </c>
      <c r="N5" s="5" t="s">
        <v>266</v>
      </c>
      <c r="O5" s="13" t="s">
        <v>72</v>
      </c>
    </row>
    <row r="6" spans="1:15" ht="26.4">
      <c r="A6" s="5" t="s">
        <v>21</v>
      </c>
      <c r="B6" s="5" t="s">
        <v>45</v>
      </c>
      <c r="C6" s="5" t="s">
        <v>103</v>
      </c>
      <c r="D6" s="5" t="s">
        <v>173</v>
      </c>
      <c r="E6" s="5" t="s">
        <v>116</v>
      </c>
      <c r="F6" s="5" t="s">
        <v>86</v>
      </c>
      <c r="G6" s="5">
        <v>17600</v>
      </c>
      <c r="H6" s="5">
        <v>0</v>
      </c>
      <c r="I6" s="5">
        <v>220.9</v>
      </c>
      <c r="J6" s="5">
        <v>17250</v>
      </c>
      <c r="K6" s="5">
        <v>350</v>
      </c>
      <c r="L6" s="5">
        <f t="shared" si="0"/>
        <v>17250</v>
      </c>
      <c r="M6" s="5">
        <f t="shared" si="1"/>
        <v>0</v>
      </c>
      <c r="N6" s="5" t="s">
        <v>266</v>
      </c>
      <c r="O6" s="5" t="s">
        <v>72</v>
      </c>
    </row>
    <row r="7" spans="1:15" ht="26.4">
      <c r="A7" s="5" t="s">
        <v>30</v>
      </c>
      <c r="B7" s="5" t="s">
        <v>48</v>
      </c>
      <c r="C7" s="5" t="s">
        <v>103</v>
      </c>
      <c r="D7" s="5" t="s">
        <v>173</v>
      </c>
      <c r="E7" s="5" t="s">
        <v>118</v>
      </c>
      <c r="F7" s="5" t="s">
        <v>84</v>
      </c>
      <c r="G7" s="5">
        <v>11900</v>
      </c>
      <c r="H7" s="5">
        <v>0</v>
      </c>
      <c r="I7" s="5">
        <v>154.19999999999999</v>
      </c>
      <c r="J7" s="5">
        <v>11750</v>
      </c>
      <c r="K7" s="5">
        <v>150</v>
      </c>
      <c r="L7" s="5">
        <f t="shared" si="0"/>
        <v>11750</v>
      </c>
      <c r="M7" s="5">
        <f t="shared" si="1"/>
        <v>0</v>
      </c>
      <c r="N7" s="5" t="s">
        <v>266</v>
      </c>
      <c r="O7" s="5" t="s">
        <v>76</v>
      </c>
    </row>
    <row r="8" spans="1:15" ht="26.4">
      <c r="A8" s="5" t="s">
        <v>30</v>
      </c>
      <c r="B8" s="5" t="s">
        <v>48</v>
      </c>
      <c r="C8" s="5" t="s">
        <v>103</v>
      </c>
      <c r="D8" s="5" t="s">
        <v>173</v>
      </c>
      <c r="E8" s="5" t="s">
        <v>120</v>
      </c>
      <c r="F8" s="5" t="s">
        <v>86</v>
      </c>
      <c r="G8" s="5">
        <v>14500</v>
      </c>
      <c r="H8" s="5">
        <v>8000</v>
      </c>
      <c r="I8" s="5">
        <v>290.39999999999998</v>
      </c>
      <c r="J8" s="5">
        <v>22290</v>
      </c>
      <c r="K8" s="5">
        <v>210</v>
      </c>
      <c r="L8" s="5">
        <f t="shared" si="0"/>
        <v>22290</v>
      </c>
      <c r="M8" s="5">
        <f t="shared" si="1"/>
        <v>0</v>
      </c>
      <c r="N8" s="5" t="s">
        <v>266</v>
      </c>
      <c r="O8" s="5" t="s">
        <v>76</v>
      </c>
    </row>
  </sheetData>
  <hyperlinks>
    <hyperlink ref="O5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opLeftCell="B1" workbookViewId="0">
      <selection activeCell="G3" sqref="G3"/>
    </sheetView>
  </sheetViews>
  <sheetFormatPr defaultRowHeight="13.8"/>
  <cols>
    <col min="1" max="10" width="18.69921875" customWidth="1"/>
  </cols>
  <sheetData>
    <row r="1" spans="1:10">
      <c r="A1" s="1" t="s">
        <v>9</v>
      </c>
      <c r="B1" s="1" t="s">
        <v>38</v>
      </c>
      <c r="C1" s="1" t="s">
        <v>170</v>
      </c>
      <c r="D1" s="1" t="s">
        <v>171</v>
      </c>
      <c r="E1" s="1" t="s">
        <v>79</v>
      </c>
      <c r="F1" s="1" t="s">
        <v>191</v>
      </c>
      <c r="G1" s="1" t="s">
        <v>267</v>
      </c>
      <c r="H1" s="1" t="s">
        <v>268</v>
      </c>
      <c r="I1" s="1" t="s">
        <v>269</v>
      </c>
      <c r="J1" s="1" t="s">
        <v>270</v>
      </c>
    </row>
    <row r="2" spans="1:10">
      <c r="A2" s="2" t="s">
        <v>21</v>
      </c>
      <c r="B2" s="2" t="s">
        <v>42</v>
      </c>
      <c r="C2" s="2" t="s">
        <v>103</v>
      </c>
      <c r="D2" s="2" t="s">
        <v>173</v>
      </c>
      <c r="E2" s="2" t="s">
        <v>271</v>
      </c>
      <c r="F2" s="2">
        <v>350</v>
      </c>
      <c r="G2" s="2" t="s">
        <v>63</v>
      </c>
      <c r="H2" s="2" t="s">
        <v>272</v>
      </c>
      <c r="I2" s="3" t="b">
        <v>1</v>
      </c>
      <c r="J2" s="2" t="s">
        <v>273</v>
      </c>
    </row>
    <row r="3" spans="1:10">
      <c r="A3" s="2" t="s">
        <v>21</v>
      </c>
      <c r="B3" s="2" t="s">
        <v>42</v>
      </c>
      <c r="C3" s="2" t="s">
        <v>103</v>
      </c>
      <c r="D3" s="2" t="s">
        <v>173</v>
      </c>
      <c r="E3" s="2" t="s">
        <v>274</v>
      </c>
      <c r="F3" s="2">
        <v>120</v>
      </c>
      <c r="G3" s="2" t="s">
        <v>63</v>
      </c>
      <c r="H3" s="2" t="s">
        <v>275</v>
      </c>
      <c r="I3" s="3" t="b">
        <v>0</v>
      </c>
      <c r="J3" s="2" t="s">
        <v>276</v>
      </c>
    </row>
    <row r="4" spans="1:10">
      <c r="A4" s="2" t="s">
        <v>21</v>
      </c>
      <c r="B4" s="2" t="s">
        <v>45</v>
      </c>
      <c r="C4" s="2" t="s">
        <v>103</v>
      </c>
      <c r="D4" s="2" t="s">
        <v>173</v>
      </c>
      <c r="E4" s="2" t="s">
        <v>277</v>
      </c>
      <c r="F4" s="2">
        <v>180</v>
      </c>
      <c r="G4" s="2" t="s">
        <v>71</v>
      </c>
      <c r="H4" s="2" t="s">
        <v>278</v>
      </c>
      <c r="I4" s="3" t="b">
        <v>1</v>
      </c>
      <c r="J4" s="2" t="s">
        <v>279</v>
      </c>
    </row>
    <row r="5" spans="1:10">
      <c r="A5" s="2" t="s">
        <v>30</v>
      </c>
      <c r="B5" s="2" t="s">
        <v>48</v>
      </c>
      <c r="C5" s="2" t="s">
        <v>103</v>
      </c>
      <c r="D5" s="2" t="s">
        <v>173</v>
      </c>
      <c r="E5" s="2" t="s">
        <v>280</v>
      </c>
      <c r="F5" s="2">
        <v>200</v>
      </c>
      <c r="G5" s="2" t="s">
        <v>75</v>
      </c>
      <c r="H5" s="2" t="s">
        <v>281</v>
      </c>
      <c r="I5" s="3" t="b">
        <v>1</v>
      </c>
      <c r="J5" s="2" t="s">
        <v>282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showGridLines="0" topLeftCell="C1" workbookViewId="0">
      <selection activeCell="K3" sqref="K3"/>
    </sheetView>
  </sheetViews>
  <sheetFormatPr defaultRowHeight="13.8"/>
  <cols>
    <col min="1" max="13" width="18.69921875" customWidth="1"/>
  </cols>
  <sheetData>
    <row r="1" spans="1:13">
      <c r="A1" s="4" t="s">
        <v>9</v>
      </c>
      <c r="B1" s="4" t="s">
        <v>38</v>
      </c>
      <c r="C1" s="4" t="s">
        <v>170</v>
      </c>
      <c r="D1" s="4" t="s">
        <v>171</v>
      </c>
      <c r="E1" s="4" t="s">
        <v>283</v>
      </c>
      <c r="F1" s="4" t="s">
        <v>284</v>
      </c>
      <c r="G1" s="4" t="s">
        <v>285</v>
      </c>
      <c r="H1" s="4" t="s">
        <v>286</v>
      </c>
      <c r="I1" s="4" t="s">
        <v>287</v>
      </c>
      <c r="J1" s="4" t="s">
        <v>288</v>
      </c>
      <c r="K1" s="4" t="s">
        <v>289</v>
      </c>
      <c r="L1" s="4" t="s">
        <v>290</v>
      </c>
      <c r="M1" s="4" t="s">
        <v>187</v>
      </c>
    </row>
    <row r="2" spans="1:13">
      <c r="A2" s="5" t="s">
        <v>21</v>
      </c>
      <c r="B2" s="5" t="s">
        <v>42</v>
      </c>
      <c r="C2" s="5" t="s">
        <v>103</v>
      </c>
      <c r="D2" s="5" t="s">
        <v>173</v>
      </c>
      <c r="E2" s="5">
        <v>100</v>
      </c>
      <c r="F2" s="5">
        <v>800</v>
      </c>
      <c r="G2" s="5">
        <v>500</v>
      </c>
      <c r="H2" s="5">
        <v>250</v>
      </c>
      <c r="I2" s="5">
        <v>40</v>
      </c>
      <c r="J2" s="5">
        <f>F2+G2+H2-I2</f>
        <v>1510</v>
      </c>
      <c r="K2" s="5">
        <v>600</v>
      </c>
      <c r="L2" s="5">
        <f>K2-(E2+G2)</f>
        <v>0</v>
      </c>
      <c r="M2" s="5" t="s">
        <v>188</v>
      </c>
    </row>
    <row r="3" spans="1:13">
      <c r="A3" s="5" t="s">
        <v>21</v>
      </c>
      <c r="B3" s="5" t="s">
        <v>45</v>
      </c>
      <c r="C3" s="5" t="s">
        <v>103</v>
      </c>
      <c r="D3" s="5" t="s">
        <v>173</v>
      </c>
      <c r="E3" s="5">
        <v>100</v>
      </c>
      <c r="F3" s="5">
        <v>450</v>
      </c>
      <c r="G3" s="5">
        <v>360</v>
      </c>
      <c r="H3" s="5">
        <v>140</v>
      </c>
      <c r="I3" s="5">
        <v>0</v>
      </c>
      <c r="J3" s="5">
        <f>F3+G3+H3-I3</f>
        <v>950</v>
      </c>
      <c r="K3" s="5">
        <v>460</v>
      </c>
      <c r="L3" s="5">
        <f>K3-(E3+G3)</f>
        <v>0</v>
      </c>
      <c r="M3" s="5" t="s">
        <v>188</v>
      </c>
    </row>
    <row r="4" spans="1:13">
      <c r="A4" s="5" t="s">
        <v>30</v>
      </c>
      <c r="B4" s="5" t="s">
        <v>48</v>
      </c>
      <c r="C4" s="5" t="s">
        <v>103</v>
      </c>
      <c r="D4" s="5" t="s">
        <v>173</v>
      </c>
      <c r="E4" s="5">
        <v>80</v>
      </c>
      <c r="F4" s="5">
        <v>280</v>
      </c>
      <c r="G4" s="5">
        <v>320</v>
      </c>
      <c r="H4" s="5">
        <v>100</v>
      </c>
      <c r="I4" s="5">
        <v>20</v>
      </c>
      <c r="J4" s="5">
        <f>F4+G4+H4-I4</f>
        <v>680</v>
      </c>
      <c r="K4" s="5">
        <v>400</v>
      </c>
      <c r="L4" s="5">
        <f>K4-(E4+G4)</f>
        <v>0</v>
      </c>
      <c r="M4" s="5" t="s">
        <v>188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showGridLines="0" workbookViewId="0">
      <selection activeCell="C4" sqref="C4"/>
    </sheetView>
  </sheetViews>
  <sheetFormatPr defaultRowHeight="13.8"/>
  <cols>
    <col min="1" max="6" width="18.69921875" customWidth="1"/>
  </cols>
  <sheetData>
    <row r="1" spans="1:6">
      <c r="A1" s="1" t="s">
        <v>9</v>
      </c>
      <c r="B1" s="1" t="s">
        <v>38</v>
      </c>
      <c r="C1" s="1" t="s">
        <v>291</v>
      </c>
      <c r="D1" s="1" t="s">
        <v>292</v>
      </c>
      <c r="E1" s="1" t="s">
        <v>293</v>
      </c>
      <c r="F1" s="1" t="s">
        <v>80</v>
      </c>
    </row>
    <row r="2" spans="1:6">
      <c r="A2" s="2" t="s">
        <v>21</v>
      </c>
      <c r="B2" s="2" t="s">
        <v>42</v>
      </c>
      <c r="C2" s="2" t="s">
        <v>294</v>
      </c>
      <c r="D2" s="2" t="s">
        <v>295</v>
      </c>
      <c r="E2" s="2">
        <v>60</v>
      </c>
      <c r="F2" s="3" t="b">
        <v>1</v>
      </c>
    </row>
    <row r="3" spans="1:6">
      <c r="A3" s="2" t="s">
        <v>21</v>
      </c>
      <c r="B3" s="2" t="s">
        <v>42</v>
      </c>
      <c r="C3" s="2" t="s">
        <v>296</v>
      </c>
      <c r="D3" s="2" t="s">
        <v>297</v>
      </c>
      <c r="E3" s="2">
        <v>80</v>
      </c>
      <c r="F3" s="3" t="b">
        <v>1</v>
      </c>
    </row>
    <row r="4" spans="1:6" ht="26.4">
      <c r="A4" s="2" t="s">
        <v>21</v>
      </c>
      <c r="B4" s="2" t="s">
        <v>45</v>
      </c>
      <c r="C4" s="2" t="s">
        <v>294</v>
      </c>
      <c r="D4" s="2" t="s">
        <v>298</v>
      </c>
      <c r="E4" s="2">
        <v>75</v>
      </c>
      <c r="F4" s="3" t="b">
        <v>1</v>
      </c>
    </row>
    <row r="5" spans="1:6" ht="26.4">
      <c r="A5" s="2" t="s">
        <v>30</v>
      </c>
      <c r="B5" s="2" t="s">
        <v>48</v>
      </c>
      <c r="C5" s="2" t="s">
        <v>294</v>
      </c>
      <c r="D5" s="2" t="s">
        <v>299</v>
      </c>
      <c r="E5" s="2">
        <v>120</v>
      </c>
      <c r="F5" s="3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showGridLines="0" topLeftCell="D1" workbookViewId="0">
      <selection activeCell="F3" sqref="F3"/>
    </sheetView>
  </sheetViews>
  <sheetFormatPr defaultRowHeight="13.8"/>
  <cols>
    <col min="1" max="23" width="18.69921875" customWidth="1"/>
  </cols>
  <sheetData>
    <row r="1" spans="1:23" ht="26.4">
      <c r="A1" s="4" t="s">
        <v>9</v>
      </c>
      <c r="B1" s="4" t="s">
        <v>38</v>
      </c>
      <c r="C1" s="4" t="s">
        <v>170</v>
      </c>
      <c r="D1" s="4" t="s">
        <v>171</v>
      </c>
      <c r="E1" s="4" t="s">
        <v>234</v>
      </c>
      <c r="F1" s="4" t="s">
        <v>192</v>
      </c>
      <c r="G1" s="4" t="s">
        <v>291</v>
      </c>
      <c r="H1" s="4" t="s">
        <v>292</v>
      </c>
      <c r="I1" s="4" t="s">
        <v>77</v>
      </c>
      <c r="J1" s="4" t="s">
        <v>300</v>
      </c>
      <c r="K1" s="4" t="s">
        <v>178</v>
      </c>
      <c r="L1" s="4" t="s">
        <v>301</v>
      </c>
      <c r="M1" s="4" t="s">
        <v>302</v>
      </c>
      <c r="N1" s="4" t="s">
        <v>303</v>
      </c>
      <c r="O1" s="4" t="s">
        <v>304</v>
      </c>
      <c r="P1" s="4" t="s">
        <v>305</v>
      </c>
      <c r="Q1" s="4" t="s">
        <v>306</v>
      </c>
      <c r="R1" s="4" t="s">
        <v>307</v>
      </c>
      <c r="S1" s="4" t="s">
        <v>308</v>
      </c>
      <c r="T1" s="4" t="s">
        <v>309</v>
      </c>
      <c r="U1" s="4" t="s">
        <v>185</v>
      </c>
      <c r="V1" s="4" t="s">
        <v>310</v>
      </c>
      <c r="W1" s="4" t="s">
        <v>243</v>
      </c>
    </row>
    <row r="2" spans="1:23">
      <c r="A2" s="5" t="s">
        <v>21</v>
      </c>
      <c r="B2" s="5" t="s">
        <v>42</v>
      </c>
      <c r="C2" s="5" t="s">
        <v>103</v>
      </c>
      <c r="D2" s="5" t="s">
        <v>173</v>
      </c>
      <c r="E2" s="5" t="s">
        <v>311</v>
      </c>
      <c r="F2" s="5" t="s">
        <v>312</v>
      </c>
      <c r="G2" s="5" t="s">
        <v>294</v>
      </c>
      <c r="H2" s="5" t="s">
        <v>295</v>
      </c>
      <c r="I2" s="5" t="s">
        <v>88</v>
      </c>
      <c r="J2" s="5">
        <v>4</v>
      </c>
      <c r="K2" s="5">
        <v>95</v>
      </c>
      <c r="L2" s="5">
        <f>J2*K2</f>
        <v>380</v>
      </c>
      <c r="M2" s="5">
        <v>60</v>
      </c>
      <c r="N2" s="5">
        <v>20</v>
      </c>
      <c r="O2" s="5">
        <f>L2+M2-N2</f>
        <v>420</v>
      </c>
      <c r="P2" s="5" t="s">
        <v>226</v>
      </c>
      <c r="Q2" s="5">
        <v>420</v>
      </c>
      <c r="R2" s="5">
        <v>0</v>
      </c>
      <c r="S2" s="5">
        <v>0</v>
      </c>
      <c r="T2" s="5">
        <v>0</v>
      </c>
      <c r="U2" s="5">
        <f>SUM(Q2:T2)-O2</f>
        <v>0</v>
      </c>
      <c r="V2" s="5" t="s">
        <v>313</v>
      </c>
      <c r="W2" s="5" t="s">
        <v>63</v>
      </c>
    </row>
    <row r="3" spans="1:23">
      <c r="A3" s="5" t="s">
        <v>21</v>
      </c>
      <c r="B3" s="5" t="s">
        <v>42</v>
      </c>
      <c r="C3" s="5" t="s">
        <v>103</v>
      </c>
      <c r="D3" s="5" t="s">
        <v>173</v>
      </c>
      <c r="E3" s="5" t="s">
        <v>314</v>
      </c>
      <c r="F3" s="5" t="s">
        <v>315</v>
      </c>
      <c r="G3" s="5" t="s">
        <v>296</v>
      </c>
      <c r="H3" s="5" t="s">
        <v>297</v>
      </c>
      <c r="I3" s="5"/>
      <c r="J3" s="5">
        <v>0</v>
      </c>
      <c r="K3" s="5">
        <v>0</v>
      </c>
      <c r="L3" s="5">
        <f>J3*K3</f>
        <v>0</v>
      </c>
      <c r="M3" s="5">
        <v>80</v>
      </c>
      <c r="N3" s="5">
        <v>0</v>
      </c>
      <c r="O3" s="5">
        <f>L3+M3-N3</f>
        <v>80</v>
      </c>
      <c r="P3" s="5" t="s">
        <v>229</v>
      </c>
      <c r="Q3" s="5">
        <v>0</v>
      </c>
      <c r="R3" s="5">
        <v>0</v>
      </c>
      <c r="S3" s="5">
        <v>80</v>
      </c>
      <c r="T3" s="5">
        <v>0</v>
      </c>
      <c r="U3" s="5">
        <f>SUM(Q3:T3)-O3</f>
        <v>0</v>
      </c>
      <c r="V3" s="5" t="s">
        <v>313</v>
      </c>
      <c r="W3" s="5" t="s">
        <v>63</v>
      </c>
    </row>
    <row r="4" spans="1:23" ht="26.4">
      <c r="A4" s="5" t="s">
        <v>30</v>
      </c>
      <c r="B4" s="5" t="s">
        <v>48</v>
      </c>
      <c r="C4" s="5" t="s">
        <v>103</v>
      </c>
      <c r="D4" s="5" t="s">
        <v>173</v>
      </c>
      <c r="E4" s="5" t="s">
        <v>316</v>
      </c>
      <c r="F4" s="5" t="s">
        <v>317</v>
      </c>
      <c r="G4" s="5" t="s">
        <v>294</v>
      </c>
      <c r="H4" s="5" t="s">
        <v>299</v>
      </c>
      <c r="I4" s="5" t="s">
        <v>96</v>
      </c>
      <c r="J4" s="5">
        <v>6</v>
      </c>
      <c r="K4" s="5">
        <v>105</v>
      </c>
      <c r="L4" s="5">
        <f>J4*K4</f>
        <v>630</v>
      </c>
      <c r="M4" s="5">
        <v>120</v>
      </c>
      <c r="N4" s="5">
        <v>0</v>
      </c>
      <c r="O4" s="5">
        <f>L4+M4-N4</f>
        <v>750</v>
      </c>
      <c r="P4" s="5" t="s">
        <v>318</v>
      </c>
      <c r="Q4" s="5">
        <v>0</v>
      </c>
      <c r="R4" s="5">
        <v>750</v>
      </c>
      <c r="S4" s="5">
        <v>0</v>
      </c>
      <c r="T4" s="5">
        <v>0</v>
      </c>
      <c r="U4" s="5">
        <f>SUM(Q4:T4)-O4</f>
        <v>0</v>
      </c>
      <c r="V4" s="5" t="s">
        <v>319</v>
      </c>
      <c r="W4" s="5" t="s">
        <v>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showGridLines="0" topLeftCell="G1" workbookViewId="0">
      <selection activeCell="O3" sqref="O3"/>
    </sheetView>
  </sheetViews>
  <sheetFormatPr defaultRowHeight="13.8"/>
  <cols>
    <col min="1" max="15" width="18.69921875" customWidth="1"/>
  </cols>
  <sheetData>
    <row r="1" spans="1:15" ht="26.4">
      <c r="A1" s="4" t="s">
        <v>9</v>
      </c>
      <c r="B1" s="4" t="s">
        <v>38</v>
      </c>
      <c r="C1" s="4" t="s">
        <v>170</v>
      </c>
      <c r="D1" s="4" t="s">
        <v>171</v>
      </c>
      <c r="E1" s="4" t="s">
        <v>320</v>
      </c>
      <c r="F1" s="4" t="s">
        <v>321</v>
      </c>
      <c r="G1" s="4" t="s">
        <v>322</v>
      </c>
      <c r="H1" s="4" t="s">
        <v>323</v>
      </c>
      <c r="I1" s="4" t="s">
        <v>324</v>
      </c>
      <c r="J1" s="4" t="s">
        <v>325</v>
      </c>
      <c r="K1" s="4" t="s">
        <v>185</v>
      </c>
      <c r="L1" s="4" t="s">
        <v>326</v>
      </c>
      <c r="M1" s="4" t="s">
        <v>327</v>
      </c>
      <c r="N1" s="4" t="s">
        <v>328</v>
      </c>
      <c r="O1" s="4" t="s">
        <v>329</v>
      </c>
    </row>
    <row r="2" spans="1:15">
      <c r="A2" s="5" t="s">
        <v>21</v>
      </c>
      <c r="B2" s="5" t="s">
        <v>42</v>
      </c>
      <c r="C2" s="5" t="s">
        <v>103</v>
      </c>
      <c r="D2" s="5" t="s">
        <v>173</v>
      </c>
      <c r="E2" s="5">
        <v>9700</v>
      </c>
      <c r="F2" s="5">
        <v>500</v>
      </c>
      <c r="G2" s="5">
        <v>470</v>
      </c>
      <c r="H2" s="5">
        <f>E2+F2-G2</f>
        <v>9730</v>
      </c>
      <c r="I2" s="5">
        <v>0</v>
      </c>
      <c r="J2" s="5">
        <v>9730</v>
      </c>
      <c r="K2" s="5">
        <f>J2-H2+I2</f>
        <v>0</v>
      </c>
      <c r="L2" s="5" t="s">
        <v>103</v>
      </c>
      <c r="M2" s="5" t="s">
        <v>330</v>
      </c>
      <c r="N2" s="5" t="s">
        <v>331</v>
      </c>
      <c r="O2" s="5" t="s">
        <v>63</v>
      </c>
    </row>
    <row r="3" spans="1:15">
      <c r="A3" s="5" t="s">
        <v>21</v>
      </c>
      <c r="B3" s="5" t="s">
        <v>45</v>
      </c>
      <c r="C3" s="5" t="s">
        <v>103</v>
      </c>
      <c r="D3" s="5" t="s">
        <v>173</v>
      </c>
      <c r="E3" s="5">
        <v>6400</v>
      </c>
      <c r="F3" s="5">
        <v>0</v>
      </c>
      <c r="G3" s="5">
        <v>180</v>
      </c>
      <c r="H3" s="5">
        <f>E3+F3-G3</f>
        <v>6220</v>
      </c>
      <c r="I3" s="5">
        <v>0</v>
      </c>
      <c r="J3" s="5">
        <v>6220</v>
      </c>
      <c r="K3" s="5">
        <f>J3-H3+I3</f>
        <v>0</v>
      </c>
      <c r="L3" s="5" t="s">
        <v>103</v>
      </c>
      <c r="M3" s="5" t="s">
        <v>332</v>
      </c>
      <c r="N3" s="5" t="s">
        <v>333</v>
      </c>
      <c r="O3" s="5" t="s">
        <v>71</v>
      </c>
    </row>
    <row r="4" spans="1:15">
      <c r="A4" s="5" t="s">
        <v>30</v>
      </c>
      <c r="B4" s="5" t="s">
        <v>48</v>
      </c>
      <c r="C4" s="5" t="s">
        <v>103</v>
      </c>
      <c r="D4" s="5" t="s">
        <v>173</v>
      </c>
      <c r="E4" s="5">
        <v>4100</v>
      </c>
      <c r="F4" s="5">
        <v>0</v>
      </c>
      <c r="G4" s="5">
        <v>200</v>
      </c>
      <c r="H4" s="5">
        <f>E4+F4-G4</f>
        <v>3900</v>
      </c>
      <c r="I4" s="5">
        <v>0</v>
      </c>
      <c r="J4" s="5">
        <v>3900</v>
      </c>
      <c r="K4" s="5">
        <f>J4-H4+I4</f>
        <v>0</v>
      </c>
      <c r="L4" s="5" t="s">
        <v>103</v>
      </c>
      <c r="M4" s="5" t="s">
        <v>334</v>
      </c>
      <c r="N4" s="5" t="s">
        <v>335</v>
      </c>
      <c r="O4" s="5" t="s">
        <v>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showGridLines="0" workbookViewId="0"/>
  </sheetViews>
  <sheetFormatPr defaultRowHeight="13.8"/>
  <cols>
    <col min="1" max="16" width="18.69921875" customWidth="1"/>
  </cols>
  <sheetData>
    <row r="1" spans="1:16" ht="26.4">
      <c r="A1" s="4" t="s">
        <v>9</v>
      </c>
      <c r="B1" s="4" t="s">
        <v>38</v>
      </c>
      <c r="C1" s="4" t="s">
        <v>170</v>
      </c>
      <c r="D1" s="4" t="s">
        <v>336</v>
      </c>
      <c r="E1" s="4" t="s">
        <v>320</v>
      </c>
      <c r="F1" s="4" t="s">
        <v>337</v>
      </c>
      <c r="G1" s="4" t="s">
        <v>184</v>
      </c>
      <c r="H1" s="4" t="s">
        <v>321</v>
      </c>
      <c r="I1" s="4" t="s">
        <v>322</v>
      </c>
      <c r="J1" s="4" t="s">
        <v>338</v>
      </c>
      <c r="K1" s="4" t="s">
        <v>339</v>
      </c>
      <c r="L1" s="4" t="s">
        <v>340</v>
      </c>
      <c r="M1" s="4" t="s">
        <v>341</v>
      </c>
      <c r="N1" s="4" t="s">
        <v>342</v>
      </c>
      <c r="O1" s="4" t="s">
        <v>343</v>
      </c>
      <c r="P1" s="4" t="s">
        <v>344</v>
      </c>
    </row>
    <row r="2" spans="1:16">
      <c r="A2" s="5" t="s">
        <v>21</v>
      </c>
      <c r="B2" s="5" t="s">
        <v>42</v>
      </c>
      <c r="C2" s="5" t="s">
        <v>103</v>
      </c>
      <c r="D2" s="5">
        <f>SUMIFS('Pump Sales'!K:K,'Pump Sales'!A:A,A2,'Pump Sales'!B:B,B2)</f>
        <v>14762.5</v>
      </c>
      <c r="E2" s="5">
        <f>SUMIFS('Pump Sales'!L:L,'Pump Sales'!A:A,A2,'Pump Sales'!B:B,B2)</f>
        <v>9700</v>
      </c>
      <c r="F2" s="5">
        <f>SUMIFS('Pump Sales'!M:M,'Pump Sales'!A:A,A2,'Pump Sales'!B:B,B2)+SUMIFS('Pump Sales'!N:N,'Pump Sales'!A:A,A2,'Pump Sales'!B:B,B2)+SUMIFS('Pump Sales'!O:O,'Pump Sales'!A:A,A2,'Pump Sales'!B:B,B2)</f>
        <v>4689.5</v>
      </c>
      <c r="G2" s="5">
        <f>SUMIFS('Pump Sales'!P:P,'Pump Sales'!A:A,A2,'Pump Sales'!B:B,B2)</f>
        <v>373</v>
      </c>
      <c r="H2" s="5">
        <f>SUMIFS('Debtor Ledger'!G:G,'Debtor Ledger'!A:A,A2,'Debtor Ledger'!B:B,B2,'Debtor Ledger'!F:F,"PAYMENT",'Debtor Ledger'!H:H,"CASH")</f>
        <v>500</v>
      </c>
      <c r="I2" s="5">
        <f>SUMIFS(Expenditure!F:F,Expenditure!A:A,A2,Expenditure!B:B,B2)</f>
        <v>470</v>
      </c>
      <c r="J2" s="5">
        <f>E2+H2-I2</f>
        <v>9730</v>
      </c>
      <c r="K2" s="5">
        <f>SUMIFS('Cash Collection'!J:J,'Cash Collection'!A:A,A2,'Cash Collection'!B:B,B2)</f>
        <v>9730</v>
      </c>
      <c r="L2" s="5">
        <f>K2-J2</f>
        <v>0</v>
      </c>
      <c r="M2" s="5">
        <f>SUMIFS('Mart Sales'!J:J,'Mart Sales'!A:A,A2,'Mart Sales'!B:B,B2)</f>
        <v>1510</v>
      </c>
      <c r="N2" s="5">
        <f>SUMIFS('Mart Sales'!L:L,'Mart Sales'!A:A,A2,'Mart Sales'!B:B,B2)</f>
        <v>0</v>
      </c>
      <c r="O2" s="5">
        <f>SUMIFS('Tank Dipping'!M:M,'Tank Dipping'!A:A,A2,'Tank Dipping'!B:B,B2)</f>
        <v>0</v>
      </c>
      <c r="P2" s="5">
        <f>SUMIFS('Product Discharge'!Q:Q,'Product Discharge'!A:A,A2,'Product Discharge'!B:B,B2)</f>
        <v>0</v>
      </c>
    </row>
    <row r="3" spans="1:16">
      <c r="A3" s="5" t="s">
        <v>21</v>
      </c>
      <c r="B3" s="5" t="s">
        <v>45</v>
      </c>
      <c r="C3" s="5" t="s">
        <v>103</v>
      </c>
      <c r="D3" s="5">
        <f>SUMIFS('Pump Sales'!K:K,'Pump Sales'!A:A,A3,'Pump Sales'!B:B,B3)</f>
        <v>8775.9</v>
      </c>
      <c r="E3" s="5">
        <f>SUMIFS('Pump Sales'!L:L,'Pump Sales'!A:A,A3,'Pump Sales'!B:B,B3)</f>
        <v>6400</v>
      </c>
      <c r="F3" s="5">
        <f>SUMIFS('Pump Sales'!M:M,'Pump Sales'!A:A,A3,'Pump Sales'!B:B,B3)+SUMIFS('Pump Sales'!N:N,'Pump Sales'!A:A,A3,'Pump Sales'!B:B,B3)+SUMIFS('Pump Sales'!O:O,'Pump Sales'!A:A,A3,'Pump Sales'!B:B,B3)</f>
        <v>2375.9</v>
      </c>
      <c r="G3" s="5">
        <f>SUMIFS('Pump Sales'!P:P,'Pump Sales'!A:A,A3,'Pump Sales'!B:B,B3)</f>
        <v>0</v>
      </c>
      <c r="H3" s="5">
        <f>SUMIFS('Debtor Ledger'!G:G,'Debtor Ledger'!A:A,A3,'Debtor Ledger'!B:B,B3,'Debtor Ledger'!F:F,"PAYMENT",'Debtor Ledger'!H:H,"CASH")</f>
        <v>0</v>
      </c>
      <c r="I3" s="5">
        <f>SUMIFS(Expenditure!F:F,Expenditure!A:A,A3,Expenditure!B:B,B3)</f>
        <v>180</v>
      </c>
      <c r="J3" s="5">
        <f>E3+H3-I3</f>
        <v>6220</v>
      </c>
      <c r="K3" s="5">
        <f>SUMIFS('Cash Collection'!J:J,'Cash Collection'!A:A,A3,'Cash Collection'!B:B,B3)</f>
        <v>6220</v>
      </c>
      <c r="L3" s="5">
        <f>K3-J3</f>
        <v>0</v>
      </c>
      <c r="M3" s="5">
        <f>SUMIFS('Mart Sales'!J:J,'Mart Sales'!A:A,A3,'Mart Sales'!B:B,B3)</f>
        <v>950</v>
      </c>
      <c r="N3" s="5">
        <f>SUMIFS('Mart Sales'!L:L,'Mart Sales'!A:A,A3,'Mart Sales'!B:B,B3)</f>
        <v>0</v>
      </c>
      <c r="O3" s="5">
        <f>SUMIFS('Tank Dipping'!M:M,'Tank Dipping'!A:A,A3,'Tank Dipping'!B:B,B3)</f>
        <v>0</v>
      </c>
      <c r="P3" s="5">
        <f>SUMIFS('Product Discharge'!Q:Q,'Product Discharge'!A:A,A3,'Product Discharge'!B:B,B3)</f>
        <v>0</v>
      </c>
    </row>
    <row r="4" spans="1:16">
      <c r="A4" s="5" t="s">
        <v>30</v>
      </c>
      <c r="B4" s="5" t="s">
        <v>48</v>
      </c>
      <c r="C4" s="5" t="s">
        <v>103</v>
      </c>
      <c r="D4" s="5">
        <f>SUMIFS('Pump Sales'!K:K,'Pump Sales'!A:A,A4,'Pump Sales'!B:B,B4)</f>
        <v>5595</v>
      </c>
      <c r="E4" s="5">
        <f>SUMIFS('Pump Sales'!L:L,'Pump Sales'!A:A,A4,'Pump Sales'!B:B,B4)</f>
        <v>4100</v>
      </c>
      <c r="F4" s="5">
        <f>SUMIFS('Pump Sales'!M:M,'Pump Sales'!A:A,A4,'Pump Sales'!B:B,B4)+SUMIFS('Pump Sales'!N:N,'Pump Sales'!A:A,A4,'Pump Sales'!B:B,B4)+SUMIFS('Pump Sales'!O:O,'Pump Sales'!A:A,A4,'Pump Sales'!B:B,B4)</f>
        <v>1495</v>
      </c>
      <c r="G4" s="5">
        <f>SUMIFS('Pump Sales'!P:P,'Pump Sales'!A:A,A4,'Pump Sales'!B:B,B4)</f>
        <v>0</v>
      </c>
      <c r="H4" s="5">
        <f>SUMIFS('Debtor Ledger'!G:G,'Debtor Ledger'!A:A,A4,'Debtor Ledger'!B:B,B4,'Debtor Ledger'!F:F,"PAYMENT",'Debtor Ledger'!H:H,"CASH")</f>
        <v>0</v>
      </c>
      <c r="I4" s="5">
        <f>SUMIFS(Expenditure!F:F,Expenditure!A:A,A4,Expenditure!B:B,B4)</f>
        <v>200</v>
      </c>
      <c r="J4" s="5">
        <f>E4+H4-I4</f>
        <v>3900</v>
      </c>
      <c r="K4" s="5">
        <f>SUMIFS('Cash Collection'!J:J,'Cash Collection'!A:A,A4,'Cash Collection'!B:B,B4)</f>
        <v>3900</v>
      </c>
      <c r="L4" s="5">
        <f>K4-J4</f>
        <v>0</v>
      </c>
      <c r="M4" s="5">
        <f>SUMIFS('Mart Sales'!J:J,'Mart Sales'!A:A,A4,'Mart Sales'!B:B,B4)</f>
        <v>680</v>
      </c>
      <c r="N4" s="5">
        <f>SUMIFS('Mart Sales'!L:L,'Mart Sales'!A:A,A4,'Mart Sales'!B:B,B4)</f>
        <v>0</v>
      </c>
      <c r="O4" s="5">
        <f>SUMIFS('Tank Dipping'!M:M,'Tank Dipping'!A:A,A4,'Tank Dipping'!B:B,B4)</f>
        <v>0</v>
      </c>
      <c r="P4" s="5">
        <f>SUMIFS('Product Discharge'!Q:Q,'Product Discharge'!A:A,A4,'Product Discharge'!B:B,B4)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showGridLines="0" workbookViewId="0"/>
  </sheetViews>
  <sheetFormatPr defaultRowHeight="13.8"/>
  <cols>
    <col min="1" max="1" width="27.5" customWidth="1"/>
    <col min="2" max="2" width="112.5" customWidth="1"/>
  </cols>
  <sheetData>
    <row r="1" spans="1:2">
      <c r="A1" s="1" t="s">
        <v>345</v>
      </c>
      <c r="B1" s="1" t="s">
        <v>346</v>
      </c>
    </row>
    <row r="2" spans="1:2">
      <c r="A2" s="2" t="s">
        <v>347</v>
      </c>
      <c r="B2" s="2" t="s">
        <v>348</v>
      </c>
    </row>
    <row r="3" spans="1:2">
      <c r="A3" s="2" t="s">
        <v>349</v>
      </c>
      <c r="B3" s="2" t="s">
        <v>350</v>
      </c>
    </row>
    <row r="4" spans="1:2">
      <c r="A4" s="2" t="s">
        <v>351</v>
      </c>
      <c r="B4" s="2" t="s">
        <v>352</v>
      </c>
    </row>
    <row r="5" spans="1:2">
      <c r="A5" s="2" t="s">
        <v>353</v>
      </c>
      <c r="B5" s="2" t="s">
        <v>354</v>
      </c>
    </row>
    <row r="6" spans="1:2">
      <c r="A6" s="2" t="s">
        <v>355</v>
      </c>
      <c r="B6" s="2" t="s">
        <v>356</v>
      </c>
    </row>
    <row r="7" spans="1:2">
      <c r="A7" s="2" t="s">
        <v>357</v>
      </c>
      <c r="B7" s="2" t="s">
        <v>358</v>
      </c>
    </row>
    <row r="8" spans="1:2">
      <c r="A8" s="2" t="s">
        <v>359</v>
      </c>
      <c r="B8" s="2" t="s">
        <v>360</v>
      </c>
    </row>
    <row r="9" spans="1:2">
      <c r="A9" s="2" t="s">
        <v>361</v>
      </c>
      <c r="B9" s="2" t="s">
        <v>362</v>
      </c>
    </row>
    <row r="10" spans="1:2">
      <c r="A10" s="2" t="s">
        <v>363</v>
      </c>
      <c r="B10" s="2" t="s">
        <v>364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topLeftCell="D1" workbookViewId="0">
      <selection activeCell="H4" sqref="H4"/>
    </sheetView>
  </sheetViews>
  <sheetFormatPr defaultRowHeight="13.8"/>
  <cols>
    <col min="1" max="2" width="20" customWidth="1"/>
    <col min="3" max="3" width="52.5" customWidth="1"/>
    <col min="4" max="5" width="20" customWidth="1"/>
    <col min="6" max="6" width="21.296875" bestFit="1" customWidth="1"/>
    <col min="7" max="7" width="20" customWidth="1"/>
    <col min="8" max="8" width="36.796875" customWidth="1"/>
  </cols>
  <sheetData>
    <row r="1" spans="1:8" ht="21">
      <c r="A1" s="9" t="s">
        <v>365</v>
      </c>
      <c r="B1" s="10"/>
      <c r="C1" s="10"/>
      <c r="D1" s="10"/>
      <c r="E1" s="10"/>
      <c r="F1" s="10"/>
      <c r="G1" s="10"/>
      <c r="H1" s="10"/>
    </row>
    <row r="3" spans="1:8">
      <c r="A3" s="6" t="s">
        <v>366</v>
      </c>
      <c r="B3" s="6" t="s">
        <v>367</v>
      </c>
      <c r="C3" s="6" t="s">
        <v>368</v>
      </c>
      <c r="D3" s="6" t="s">
        <v>369</v>
      </c>
      <c r="E3" s="6"/>
      <c r="F3" s="6" t="s">
        <v>370</v>
      </c>
      <c r="G3" s="6" t="s">
        <v>371</v>
      </c>
      <c r="H3" s="6" t="s">
        <v>372</v>
      </c>
    </row>
    <row r="4" spans="1:8">
      <c r="A4" s="7" t="s">
        <v>373</v>
      </c>
      <c r="B4" s="7">
        <v>0</v>
      </c>
      <c r="C4" s="7">
        <v>0</v>
      </c>
      <c r="D4" s="7">
        <v>0</v>
      </c>
      <c r="E4" s="7"/>
      <c r="F4" s="7" t="s">
        <v>374</v>
      </c>
      <c r="G4" s="7" t="s">
        <v>375</v>
      </c>
      <c r="H4" s="7" t="s">
        <v>376</v>
      </c>
    </row>
    <row r="5" spans="1:8">
      <c r="A5" s="7" t="s">
        <v>377</v>
      </c>
      <c r="B5" s="7">
        <v>0</v>
      </c>
      <c r="C5" s="7">
        <v>0</v>
      </c>
      <c r="D5" s="7">
        <v>0</v>
      </c>
      <c r="E5" s="7"/>
      <c r="F5" s="7" t="s">
        <v>374</v>
      </c>
      <c r="G5" s="7" t="s">
        <v>375</v>
      </c>
      <c r="H5" s="7" t="s">
        <v>378</v>
      </c>
    </row>
    <row r="6" spans="1:8">
      <c r="A6" s="7" t="s">
        <v>379</v>
      </c>
      <c r="B6" s="7">
        <v>0</v>
      </c>
      <c r="C6" s="7"/>
      <c r="D6" s="7">
        <v>0</v>
      </c>
      <c r="E6" s="7"/>
      <c r="F6" s="7" t="s">
        <v>380</v>
      </c>
      <c r="G6" s="7" t="s">
        <v>381</v>
      </c>
      <c r="H6" s="7" t="s">
        <v>382</v>
      </c>
    </row>
    <row r="8" spans="1:8">
      <c r="A8" s="8" t="s">
        <v>383</v>
      </c>
      <c r="B8" s="8" t="s">
        <v>384</v>
      </c>
      <c r="C8" s="8" t="s">
        <v>385</v>
      </c>
      <c r="D8" s="8"/>
      <c r="E8" s="8"/>
      <c r="F8" s="8"/>
      <c r="G8" s="8"/>
      <c r="H8" s="8"/>
    </row>
    <row r="9" spans="1:8">
      <c r="A9" s="7" t="s">
        <v>386</v>
      </c>
      <c r="B9" s="7" t="s">
        <v>387</v>
      </c>
      <c r="C9" s="7" t="s">
        <v>388</v>
      </c>
      <c r="D9" s="7"/>
      <c r="E9" s="7"/>
      <c r="F9" s="7"/>
      <c r="G9" s="7"/>
      <c r="H9" s="7"/>
    </row>
    <row r="10" spans="1:8">
      <c r="A10" s="7" t="s">
        <v>389</v>
      </c>
      <c r="B10" s="7" t="s">
        <v>390</v>
      </c>
      <c r="C10" s="7" t="s">
        <v>391</v>
      </c>
      <c r="D10" s="7"/>
      <c r="E10" s="7"/>
      <c r="F10" s="7"/>
      <c r="G10" s="7"/>
      <c r="H10" s="7"/>
    </row>
    <row r="11" spans="1:8">
      <c r="A11" s="7" t="s">
        <v>392</v>
      </c>
      <c r="B11" s="7" t="s">
        <v>393</v>
      </c>
      <c r="C11" s="7" t="s">
        <v>394</v>
      </c>
      <c r="D11" s="7"/>
      <c r="E11" s="7"/>
      <c r="F11" s="7"/>
      <c r="G11" s="7"/>
      <c r="H11" s="7"/>
    </row>
    <row r="12" spans="1:8">
      <c r="A12" s="7" t="s">
        <v>395</v>
      </c>
      <c r="B12" s="7" t="s">
        <v>396</v>
      </c>
      <c r="C12" s="7" t="s">
        <v>397</v>
      </c>
      <c r="D12" s="7"/>
      <c r="E12" s="7"/>
      <c r="F12" s="7"/>
      <c r="G12" s="7"/>
      <c r="H12" s="7"/>
    </row>
    <row r="13" spans="1:8">
      <c r="A13" s="7" t="s">
        <v>398</v>
      </c>
      <c r="B13" s="7" t="s">
        <v>399</v>
      </c>
      <c r="C13" s="7" t="s">
        <v>400</v>
      </c>
      <c r="D13" s="7"/>
      <c r="E13" s="7"/>
      <c r="F13" s="7"/>
      <c r="G13" s="7"/>
      <c r="H13" s="7"/>
    </row>
    <row r="14" spans="1:8">
      <c r="A14" s="7" t="s">
        <v>401</v>
      </c>
      <c r="B14" s="7" t="s">
        <v>402</v>
      </c>
      <c r="C14" s="7" t="s">
        <v>403</v>
      </c>
      <c r="D14" s="7"/>
      <c r="E14" s="7"/>
      <c r="F14" s="7"/>
      <c r="G14" s="7"/>
      <c r="H14" s="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README</vt:lpstr>
      <vt:lpstr>Companies</vt:lpstr>
      <vt:lpstr>Stations</vt:lpstr>
      <vt:lpstr>Users</vt:lpstr>
      <vt:lpstr>Products</vt:lpstr>
      <vt:lpstr>Product Prices</vt:lpstr>
      <vt:lpstr>Tanks</vt:lpstr>
      <vt:lpstr>Pumps</vt:lpstr>
      <vt:lpstr>Nozzles</vt:lpstr>
      <vt:lpstr>Debtors</vt:lpstr>
      <vt:lpstr>Daily Sessions</vt:lpstr>
      <vt:lpstr>Pump Sales</vt:lpstr>
      <vt:lpstr>Payment Details</vt:lpstr>
      <vt:lpstr>Debtor Ledger</vt:lpstr>
      <vt:lpstr>Product Discharge</vt:lpstr>
      <vt:lpstr>Tank Dipping</vt:lpstr>
      <vt:lpstr>Expenditure</vt:lpstr>
      <vt:lpstr>Sheet1</vt:lpstr>
      <vt:lpstr>Mart Sales</vt:lpstr>
      <vt:lpstr>Lube Bay Setup</vt:lpstr>
      <vt:lpstr>Lube Bay Sales</vt:lpstr>
      <vt:lpstr>Cash Collection</vt:lpstr>
      <vt:lpstr>Expected Reconciliation</vt:lpstr>
      <vt:lpstr>Import Validation Rules</vt:lpstr>
      <vt:lpstr>Control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2026-06-21T14:53:26Z</dcterms:modified>
</cp:coreProperties>
</file>